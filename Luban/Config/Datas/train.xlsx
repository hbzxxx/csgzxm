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0605"/>
  </bookViews>
  <sheets>
    <sheet name="Sheet1" sheetId="1" r:id="rId1"/>
    <sheet name="公式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<sst xmlns="http://schemas.openxmlformats.org/spreadsheetml/2006/main" count="660" uniqueCount="217">
  <si>
    <t>##var</t>
  </si>
  <si>
    <t>id</t>
  </si>
  <si>
    <t>proChange</t>
  </si>
  <si>
    <t>lingShiNeed</t>
  </si>
  <si>
    <t>xiuWeiAddSpeed</t>
  </si>
  <si>
    <t>xiuWeiNeed</t>
  </si>
  <si>
    <t>successRate</t>
  </si>
  <si>
    <t>successDanId</t>
  </si>
  <si>
    <t>##type</t>
  </si>
  <si>
    <t>string</t>
  </si>
  <si>
    <t>##</t>
  </si>
  <si>
    <t>1</t>
  </si>
  <si>
    <t>10001|6$10002|$10003|$10004|$10005|$10006|</t>
  </si>
  <si>
    <t>101001</t>
  </si>
  <si>
    <t>2</t>
  </si>
  <si>
    <t>10001|100$10002|$10003|5$10004|12$10005|$10006|</t>
  </si>
  <si>
    <t>57.3</t>
  </si>
  <si>
    <t>250</t>
  </si>
  <si>
    <t>3</t>
  </si>
  <si>
    <t>450</t>
  </si>
  <si>
    <t>64.6</t>
  </si>
  <si>
    <t>700</t>
  </si>
  <si>
    <t>4</t>
  </si>
  <si>
    <t>5</t>
  </si>
  <si>
    <t>6</t>
  </si>
  <si>
    <t>100</t>
  </si>
  <si>
    <t>7</t>
  </si>
  <si>
    <t>8</t>
  </si>
  <si>
    <t>9</t>
  </si>
  <si>
    <t>10</t>
  </si>
  <si>
    <t>11</t>
  </si>
  <si>
    <t>10001|100$10002|2$10003|5$10004|12$10005|1$10006|2</t>
  </si>
  <si>
    <t>12</t>
  </si>
  <si>
    <t>32500</t>
  </si>
  <si>
    <t>13</t>
  </si>
  <si>
    <t>14</t>
  </si>
  <si>
    <t>15</t>
  </si>
  <si>
    <t>11250</t>
  </si>
  <si>
    <t>16</t>
  </si>
  <si>
    <t>17</t>
  </si>
  <si>
    <t>18</t>
  </si>
  <si>
    <t>19</t>
  </si>
  <si>
    <t>20</t>
  </si>
  <si>
    <t>21</t>
  </si>
  <si>
    <t>10001|100$10002|1$10003|5$10004|12$10005|2$10006|4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</si>
  <si>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</si>
  <si>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</si>
  <si>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</si>
  <si>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</si>
  <si>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</si>
  <si>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</si>
  <si>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</si>
  <si>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</si>
  <si>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</si>
  <si>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</si>
  <si>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102001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</si>
  <si>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</si>
  <si>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</si>
  <si>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</si>
  <si>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</si>
  <si>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</si>
  <si>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</si>
  <si>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</si>
  <si>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</si>
  <si>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</si>
  <si>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</si>
  <si>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10001|100$10002|1$10003|5$10004|12$10005|1$10006|2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</si>
  <si>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</si>
  <si>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</si>
  <si>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</si>
  <si>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</si>
  <si>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</si>
  <si>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</si>
  <si>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</si>
  <si>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</si>
  <si>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</si>
  <si>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</si>
  <si>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10001|100$10002|1$10003|5$10004|12$10005|1$10006|3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</si>
  <si>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</si>
  <si>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</si>
  <si>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</si>
  <si>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</si>
  <si>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</si>
  <si>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</si>
  <si>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</si>
  <si>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</si>
  <si>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</si>
  <si>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</si>
  <si>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103001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</si>
  <si>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</si>
  <si>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</si>
  <si>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</si>
  <si>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</si>
  <si>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</si>
  <si>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</si>
  <si>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</si>
  <si>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</si>
  <si>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</si>
  <si>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</si>
  <si>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10001|100$10002|1$10003|5$10004|12$10005|2$10006|3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</si>
  <si>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</si>
  <si>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</si>
  <si>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</si>
  <si>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</si>
  <si>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</si>
  <si>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</si>
  <si>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</si>
  <si>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</si>
  <si>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</si>
  <si>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</si>
  <si>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</si>
  <si>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</si>
  <si>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</si>
  <si>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</si>
  <si>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</si>
  <si>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</si>
  <si>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</si>
  <si>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</si>
  <si>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</si>
  <si>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</si>
  <si>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104001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</si>
  <si>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</si>
  <si>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</si>
  <si>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</si>
  <si>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</si>
  <si>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</si>
  <si>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</si>
  <si>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</si>
  <si>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</si>
  <si>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</si>
  <si>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</si>
  <si>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</si>
  <si>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</si>
  <si>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</si>
  <si>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</si>
  <si>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</si>
  <si>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</si>
  <si>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</si>
  <si>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</si>
  <si>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</si>
  <si>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10001|100$10002|2$10003|5$10004|12$10005|2$10006|3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</si>
  <si>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</si>
  <si>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</si>
  <si>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</si>
  <si>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</si>
  <si>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</si>
  <si>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</si>
  <si>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</si>
  <si>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</si>
  <si>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</si>
  <si>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</si>
  <si>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105001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</si>
  <si>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</si>
  <si>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</si>
  <si>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</si>
  <si>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</si>
  <si>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</si>
  <si>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</si>
  <si>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</si>
  <si>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</si>
  <si>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</si>
  <si>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</si>
  <si>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10001|100$10002|2$10003|5$10004|12$10005|1$10006|3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</si>
  <si>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</si>
  <si>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</si>
  <si>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</si>
  <si>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</si>
  <si>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</si>
  <si>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</si>
  <si>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</si>
  <si>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</si>
  <si>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</si>
  <si>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</si>
  <si>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</si>
  <si>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</si>
  <si>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</si>
  <si>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</si>
  <si>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</si>
  <si>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</si>
  <si>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</si>
  <si>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</si>
  <si>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</si>
  <si>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等级</t>
  </si>
  <si>
    <t>血</t>
  </si>
  <si>
    <t>气</t>
  </si>
  <si>
    <t>攻</t>
  </si>
  <si>
    <t>守</t>
  </si>
  <si>
    <t>锐</t>
  </si>
  <si>
    <t>伤</t>
  </si>
  <si>
    <t>proAdd</t>
  </si>
  <si>
    <t>属性变化</t>
  </si>
  <si>
    <t>需要的钱</t>
  </si>
  <si>
    <t>需要的修为</t>
  </si>
  <si>
    <t>K</t>
  </si>
  <si>
    <t>A</t>
  </si>
  <si>
    <t>t</t>
  </si>
  <si>
    <t>y(t)</t>
  </si>
  <si>
    <t>炼体化精</t>
  </si>
  <si>
    <t>炼气</t>
  </si>
  <si>
    <t>内腑</t>
  </si>
  <si>
    <t>筑基</t>
  </si>
  <si>
    <t>炼精化气</t>
  </si>
  <si>
    <t>旋照</t>
  </si>
  <si>
    <t>开光</t>
  </si>
  <si>
    <t>融合</t>
  </si>
  <si>
    <t>炼气化神</t>
  </si>
  <si>
    <t>心动</t>
  </si>
  <si>
    <t>灵寂</t>
  </si>
  <si>
    <t>金丹</t>
  </si>
  <si>
    <t>炼神还虚</t>
  </si>
  <si>
    <t>元婴</t>
  </si>
  <si>
    <t>出窍</t>
  </si>
  <si>
    <t>分神</t>
  </si>
  <si>
    <t>炼虚合道</t>
  </si>
  <si>
    <t>合体</t>
  </si>
  <si>
    <t>渡劫</t>
  </si>
  <si>
    <t>大乘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</si>
</sst>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2"/>
      <color rgb="FF333333"/>
      <name val="微软雅黑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3"/>
  <sheetViews>
    <sheetView tabSelected="1" workbookViewId="0">
      <selection activeCell="I11" sqref="I11"/>
    </sheetView>
  </sheetViews>
  <sheetFormatPr defaultColWidth="9" defaultRowHeight="13.5" outlineLevelCol="7"/>
  <cols>
    <col min="1" max="1" width="9" style="11" customWidth="1"/>
    <col min="2" max="2" width="15.125" style="11" customWidth="1"/>
    <col min="3" max="3" width="13" style="11" customWidth="1"/>
    <col min="4" max="4" width="16" style="11" customWidth="1"/>
    <col min="5" max="5" width="17.25" style="11" customWidth="1"/>
    <col min="6" max="6" width="12.25" style="11" customWidth="1"/>
    <col min="7" max="7" width="15.5" style="11" customWidth="1"/>
    <col min="8" max="16381" width="9" style="11" customWidth="1"/>
    <col min="16382" max="16384" width="9" style="1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>
      <c r="A3" t="s">
        <v>10</v>
      </c>
      <c r="B3" s="11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>
      <c r="B4" s="4" t="s">
        <v>11</v>
      </c>
      <c r="C4" s="11" t="s">
        <v>12</v>
      </c>
      <c r="D4" s="11">
        <v>50</v>
      </c>
      <c r="E4" s="11">
        <v>50</v>
      </c>
      <c r="F4" s="11">
        <v>50</v>
      </c>
      <c r="G4" s="12">
        <v>100</v>
      </c>
      <c r="H4" s="4" t="s">
        <v>13</v>
      </c>
    </row>
    <row r="5" spans="1:8">
      <c r="B5" s="4" t="s">
        <v>14</v>
      </c>
      <c r="C5" s="4" t="s">
        <v>15</v>
      </c>
      <c r="D5" s="11">
        <v>200</v>
      </c>
      <c r="E5" s="4" t="s">
        <v>16</v>
      </c>
      <c r="F5" s="4" t="s">
        <v>17</v>
      </c>
      <c r="G5" s="12">
        <v>100</v>
      </c>
      <c r="H5" s="4" t="s">
        <v>13</v>
      </c>
    </row>
    <row r="6" spans="1:8">
      <c r="B6" s="4" t="s">
        <v>18</v>
      </c>
      <c r="C6" s="11" t="s">
        <v>15</v>
      </c>
      <c r="D6" s="4" t="s">
        <v>19</v>
      </c>
      <c r="E6" s="4" t="s">
        <v>20</v>
      </c>
      <c r="F6" s="4" t="s">
        <v>21</v>
      </c>
      <c r="G6" s="12">
        <v>100</v>
      </c>
      <c r="H6" s="4" t="s">
        <v>13</v>
      </c>
    </row>
    <row r="7" spans="1:8">
      <c r="B7" s="4" t="s">
        <v>22</v>
      </c>
      <c r="C7" s="4" t="s">
        <v>15</v>
      </c>
      <c r="D7" s="11">
        <v>800</v>
      </c>
      <c r="E7" s="11">
        <v>71.9</v>
      </c>
      <c r="F7" s="11">
        <v>1500</v>
      </c>
      <c r="G7" s="12">
        <v>100</v>
      </c>
      <c r="H7" s="4" t="s">
        <v>13</v>
      </c>
    </row>
    <row r="8" spans="1:8">
      <c r="B8" s="4" t="s">
        <v>23</v>
      </c>
      <c r="C8" s="11" t="s">
        <v>15</v>
      </c>
      <c r="D8" s="11">
        <v>1250</v>
      </c>
      <c r="E8" s="11">
        <v>79.2</v>
      </c>
      <c r="F8" s="11">
        <v>2750</v>
      </c>
      <c r="G8" s="12">
        <v>100</v>
      </c>
      <c r="H8" s="4" t="s">
        <v>13</v>
      </c>
    </row>
    <row r="9" spans="1:8">
      <c r="B9" s="4" t="s">
        <v>24</v>
      </c>
      <c r="C9" s="4" t="s">
        <v>15</v>
      </c>
      <c r="D9" s="11">
        <v>1800</v>
      </c>
      <c r="E9" s="11">
        <v>86.5</v>
      </c>
      <c r="F9" s="11">
        <v>4550</v>
      </c>
      <c r="G9" s="12" t="s">
        <v>25</v>
      </c>
      <c r="H9" s="4" t="s">
        <v>13</v>
      </c>
    </row>
    <row r="10" spans="1:8">
      <c r="B10" s="4" t="s">
        <v>26</v>
      </c>
      <c r="C10" s="11" t="s">
        <v>15</v>
      </c>
      <c r="D10" s="11">
        <v>2450</v>
      </c>
      <c r="E10" s="11">
        <v>93.8</v>
      </c>
      <c r="F10" s="11">
        <v>7000</v>
      </c>
      <c r="G10" s="12">
        <v>100</v>
      </c>
      <c r="H10" s="4" t="s">
        <v>13</v>
      </c>
    </row>
    <row r="11" spans="1:8">
      <c r="B11" s="4" t="s">
        <v>27</v>
      </c>
      <c r="C11" s="11" t="s">
        <v>15</v>
      </c>
      <c r="D11" s="11">
        <v>3200</v>
      </c>
      <c r="E11" s="11">
        <v>101.1</v>
      </c>
      <c r="F11" s="11">
        <v>10200</v>
      </c>
      <c r="G11" s="12">
        <v>100</v>
      </c>
      <c r="H11" s="4" t="s">
        <v>13</v>
      </c>
    </row>
    <row r="12" spans="1:8">
      <c r="B12" s="4" t="s">
        <v>28</v>
      </c>
      <c r="C12" s="11" t="s">
        <v>15</v>
      </c>
      <c r="D12" s="11">
        <v>4050</v>
      </c>
      <c r="E12" s="11">
        <v>108.4</v>
      </c>
      <c r="F12" s="11">
        <v>14250</v>
      </c>
      <c r="G12" s="12">
        <v>100</v>
      </c>
      <c r="H12" s="4" t="s">
        <v>13</v>
      </c>
    </row>
    <row r="13" spans="1:8">
      <c r="B13" s="4" t="s">
        <v>29</v>
      </c>
      <c r="C13" s="11" t="s">
        <v>15</v>
      </c>
      <c r="D13" s="11">
        <v>5000</v>
      </c>
      <c r="E13" s="11">
        <v>115.7</v>
      </c>
      <c r="F13" s="11">
        <v>19250</v>
      </c>
      <c r="G13" s="12" t="s">
        <v>25</v>
      </c>
      <c r="H13" s="4" t="s">
        <v>13</v>
      </c>
    </row>
    <row r="14" spans="1:8">
      <c r="B14" s="4" t="s">
        <v>30</v>
      </c>
      <c r="C14" s="11" t="s">
        <v>31</v>
      </c>
      <c r="D14" s="11">
        <v>6050</v>
      </c>
      <c r="E14" s="11">
        <v>123</v>
      </c>
      <c r="F14" s="11">
        <v>25300</v>
      </c>
      <c r="G14" s="12" t="s">
        <v>25</v>
      </c>
      <c r="H14" s="4" t="s">
        <v>13</v>
      </c>
    </row>
    <row r="15" spans="1:8">
      <c r="B15" s="4" t="s">
        <v>32</v>
      </c>
      <c r="C15" s="11" t="s">
        <v>15</v>
      </c>
      <c r="D15" s="11">
        <v>7200</v>
      </c>
      <c r="E15" s="11">
        <v>130.3</v>
      </c>
      <c r="F15" s="11" t="s">
        <v>33</v>
      </c>
      <c r="G15" s="12" t="s">
        <v>25</v>
      </c>
      <c r="H15" s="4" t="s">
        <v>13</v>
      </c>
    </row>
    <row r="16" spans="1:8">
      <c r="B16" s="4" t="s">
        <v>34</v>
      </c>
      <c r="C16" s="11" t="s">
        <v>15</v>
      </c>
      <c r="D16" s="11">
        <v>8450</v>
      </c>
      <c r="E16" s="11">
        <v>137.6</v>
      </c>
      <c r="F16" s="11">
        <v>40950</v>
      </c>
      <c r="G16" s="12" t="s">
        <v>25</v>
      </c>
      <c r="H16" s="4" t="s">
        <v>13</v>
      </c>
    </row>
    <row r="17" spans="2:8">
      <c r="B17" s="4" t="s">
        <v>35</v>
      </c>
      <c r="C17" s="11" t="s">
        <v>15</v>
      </c>
      <c r="D17" s="11">
        <v>9800</v>
      </c>
      <c r="E17" s="11">
        <v>144.9</v>
      </c>
      <c r="F17" s="11">
        <v>50750</v>
      </c>
      <c r="G17" s="12" t="s">
        <v>25</v>
      </c>
      <c r="H17" s="4" t="s">
        <v>13</v>
      </c>
    </row>
    <row r="18" spans="2:8">
      <c r="B18" s="4" t="s">
        <v>36</v>
      </c>
      <c r="C18" s="11" t="s">
        <v>15</v>
      </c>
      <c r="D18" s="4" t="s">
        <v>37</v>
      </c>
      <c r="E18" s="11">
        <v>152.2</v>
      </c>
      <c r="F18" s="11">
        <v>62000</v>
      </c>
      <c r="G18" s="12" t="s">
        <v>25</v>
      </c>
      <c r="H18" s="4" t="s">
        <v>13</v>
      </c>
    </row>
    <row r="19" spans="2:8">
      <c r="B19" s="4" t="s">
        <v>38</v>
      </c>
      <c r="C19" s="11" t="s">
        <v>15</v>
      </c>
      <c r="D19" s="11">
        <v>12800</v>
      </c>
      <c r="E19" s="11">
        <v>159.5</v>
      </c>
      <c r="F19" s="11">
        <v>74800</v>
      </c>
      <c r="G19" s="12" t="s">
        <v>25</v>
      </c>
      <c r="H19" s="4" t="s">
        <v>13</v>
      </c>
    </row>
    <row r="20" spans="2:8">
      <c r="B20" s="4" t="s">
        <v>39</v>
      </c>
      <c r="C20" s="11" t="s">
        <v>15</v>
      </c>
      <c r="D20" s="11">
        <v>14450</v>
      </c>
      <c r="E20" s="11">
        <v>166.8</v>
      </c>
      <c r="F20" s="11">
        <v>89250</v>
      </c>
      <c r="G20" s="12" t="s">
        <v>25</v>
      </c>
      <c r="H20" s="4" t="s">
        <v>13</v>
      </c>
    </row>
    <row r="21" spans="2:8">
      <c r="B21" s="4" t="s">
        <v>40</v>
      </c>
      <c r="C21" s="11" t="s">
        <v>15</v>
      </c>
      <c r="D21" s="11">
        <v>16200</v>
      </c>
      <c r="E21" s="11">
        <v>174.1</v>
      </c>
      <c r="F21" s="11">
        <v>105450</v>
      </c>
      <c r="G21" s="12" t="s">
        <v>25</v>
      </c>
      <c r="H21" s="4" t="s">
        <v>13</v>
      </c>
    </row>
    <row r="22" spans="2:8">
      <c r="B22" s="4" t="s">
        <v>41</v>
      </c>
      <c r="C22" s="11" t="s">
        <v>15</v>
      </c>
      <c r="D22" s="11">
        <v>18050</v>
      </c>
      <c r="E22" s="11">
        <v>181.4</v>
      </c>
      <c r="F22" s="11">
        <v>123500</v>
      </c>
      <c r="G22" s="12" t="s">
        <v>25</v>
      </c>
      <c r="H22" s="4" t="s">
        <v>13</v>
      </c>
    </row>
    <row r="23" spans="2:8">
      <c r="B23" s="4" t="s">
        <v>42</v>
      </c>
      <c r="C23" s="11" t="s">
        <v>15</v>
      </c>
      <c r="D23" s="11">
        <v>20000</v>
      </c>
      <c r="E23" s="11">
        <v>188.7</v>
      </c>
      <c r="F23" s="11">
        <v>143500</v>
      </c>
      <c r="G23" s="12" t="s">
        <v>25</v>
      </c>
      <c r="H23" s="4" t="s">
        <v>13</v>
      </c>
    </row>
    <row r="24" spans="2:8">
      <c r="B24" s="4" t="s">
        <v>43</v>
      </c>
      <c r="C24" s="11" t="s">
        <v>44</v>
      </c>
      <c r="D24" s="11">
        <v>22050</v>
      </c>
      <c r="E24" s="11">
        <v>196</v>
      </c>
      <c r="F24" s="11">
        <v>165550</v>
      </c>
      <c r="G24" s="12" t="s">
        <v>25</v>
      </c>
      <c r="H24" s="4" t="s">
        <v>13</v>
      </c>
    </row>
    <row r="25" spans="2:8">
      <c r="B25" s="4" t="s">
        <v>45</v>
      </c>
      <c r="C25" s="11" t="s">
        <v>15</v>
      </c>
      <c r="D25" s="11">
        <v>24200</v>
      </c>
      <c r="E25" s="11">
        <v>203.3</v>
      </c>
      <c r="F25" s="11">
        <v>189750</v>
      </c>
      <c r="G25" s="12" t="s">
        <v>25</v>
      </c>
      <c r="H25" s="4" t="s">
        <v>13</v>
      </c>
    </row>
    <row r="26" spans="2:8">
      <c r="B26" s="4" t="s">
        <v>46</v>
      </c>
      <c r="C26" s="11" t="s">
        <v>15</v>
      </c>
      <c r="D26" s="11">
        <v>26450</v>
      </c>
      <c r="E26" s="11">
        <v>210.6</v>
      </c>
      <c r="F26" s="11">
        <v>216200</v>
      </c>
      <c r="G26" s="12" t="s">
        <v>25</v>
      </c>
      <c r="H26" s="4" t="s">
        <v>13</v>
      </c>
    </row>
    <row r="27" spans="2:8">
      <c r="B27" s="4" t="s">
        <v>47</v>
      </c>
      <c r="C27" s="11" t="s">
        <v>15</v>
      </c>
      <c r="D27" s="11">
        <v>28800</v>
      </c>
      <c r="E27" s="11">
        <v>217.9</v>
      </c>
      <c r="F27" s="11">
        <v>245000</v>
      </c>
      <c r="G27" s="12" t="s">
        <v>25</v>
      </c>
      <c r="H27" s="4" t="s">
        <v>13</v>
      </c>
    </row>
    <row r="28" spans="2:8">
      <c r="B28" s="4" t="s">
        <v>48</v>
      </c>
      <c r="C28" s="11" t="s">
        <v>15</v>
      </c>
      <c r="D28" s="11">
        <v>31250</v>
      </c>
      <c r="E28" s="11">
        <v>225.2</v>
      </c>
      <c r="F28" s="11">
        <v>276250</v>
      </c>
      <c r="G28" s="12" t="s">
        <v>25</v>
      </c>
      <c r="H28" s="4" t="s">
        <v>13</v>
      </c>
    </row>
    <row r="29" spans="2:8">
      <c r="B29" s="4" t="s">
        <v>49</v>
      </c>
      <c r="C29" s="11" t="s">
        <v>15</v>
      </c>
      <c r="D29" s="11">
        <v>33800</v>
      </c>
      <c r="E29" s="11">
        <v>232.5</v>
      </c>
      <c r="F29" s="11">
        <v>310050</v>
      </c>
      <c r="G29" s="12" t="s">
        <v>25</v>
      </c>
      <c r="H29" s="4" t="s">
        <v>13</v>
      </c>
    </row>
    <row r="30" spans="2:8">
      <c r="B30" s="4" t="s">
        <v>50</v>
      </c>
      <c r="C30" s="11" t="s">
        <v>15</v>
      </c>
      <c r="D30" s="11">
        <v>36450</v>
      </c>
      <c r="E30" s="11">
        <v>239.8</v>
      </c>
      <c r="F30" s="11">
        <v>346500</v>
      </c>
      <c r="G30" s="12" t="s">
        <v>25</v>
      </c>
      <c r="H30" s="4" t="s">
        <v>13</v>
      </c>
    </row>
    <row r="31" spans="2:8">
      <c r="B31" s="4" t="s">
        <v>51</v>
      </c>
      <c r="C31" s="11" t="s">
        <v>15</v>
      </c>
      <c r="D31" s="11">
        <v>39200</v>
      </c>
      <c r="E31" s="11">
        <v>247.1</v>
      </c>
      <c r="F31" s="11">
        <v>385700</v>
      </c>
      <c r="G31" s="12" t="s">
        <v>25</v>
      </c>
      <c r="H31" s="4" t="s">
        <v>13</v>
      </c>
    </row>
    <row r="32" spans="2:8">
      <c r="B32" s="4" t="s">
        <v>52</v>
      </c>
      <c r="C32" s="11" t="s">
        <v>15</v>
      </c>
      <c r="D32" s="11">
        <v>42050</v>
      </c>
      <c r="E32" s="11">
        <v>254.4</v>
      </c>
      <c r="F32" s="11">
        <v>427750</v>
      </c>
      <c r="G32" s="12" t="s">
        <v>25</v>
      </c>
      <c r="H32" s="4" t="s">
        <v>13</v>
      </c>
    </row>
    <row r="33" spans="2:8">
      <c r="B33" s="4" t="s">
        <v>53</v>
      </c>
      <c r="C33" s="11" t="s">
        <v>15</v>
      </c>
      <c r="D33" s="11">
        <v>45000</v>
      </c>
      <c r="E33" s="11">
        <v>261.7</v>
      </c>
      <c r="F33" s="11">
        <v>472750</v>
      </c>
      <c r="G33" s="12" t="s">
        <v>25</v>
      </c>
      <c r="H33" s="4" t="s">
        <v>13</v>
      </c>
    </row>
    <row r="34" spans="2:8">
      <c r="B34" s="4" t="s">
        <v>54</v>
      </c>
      <c r="C34" s="11" t="s">
        <v>31</v>
      </c>
      <c r="D34" s="11">
        <v>48050</v>
      </c>
      <c r="E34" s="11">
        <v>269</v>
      </c>
      <c r="F34" s="11">
        <v>520800</v>
      </c>
      <c r="G34" s="12" t="s">
        <v>25</v>
      </c>
      <c r="H34" s="4" t="s">
        <v>55</v>
      </c>
    </row>
    <row r="35" spans="2:8">
      <c r="B35" s="4" t="s">
        <v>56</v>
      </c>
      <c r="C35" s="11" t="s">
        <v>15</v>
      </c>
      <c r="D35" s="11">
        <v>51200</v>
      </c>
      <c r="E35" s="11">
        <v>276.3</v>
      </c>
      <c r="F35" s="11">
        <v>572000</v>
      </c>
      <c r="G35" s="12" t="s">
        <v>25</v>
      </c>
      <c r="H35" s="4" t="s">
        <v>55</v>
      </c>
    </row>
    <row r="36" spans="2:8">
      <c r="B36" s="4" t="s">
        <v>57</v>
      </c>
      <c r="C36" s="11" t="s">
        <v>15</v>
      </c>
      <c r="D36" s="11">
        <v>54450</v>
      </c>
      <c r="E36" s="11">
        <v>283.6</v>
      </c>
      <c r="F36" s="11">
        <v>626450</v>
      </c>
      <c r="G36" s="12" t="s">
        <v>25</v>
      </c>
      <c r="H36" s="4" t="s">
        <v>55</v>
      </c>
    </row>
    <row r="37" spans="2:8">
      <c r="B37" s="4" t="s">
        <v>58</v>
      </c>
      <c r="C37" s="11" t="s">
        <v>15</v>
      </c>
      <c r="D37" s="11">
        <v>57800</v>
      </c>
      <c r="E37" s="11">
        <v>290.9</v>
      </c>
      <c r="F37" s="11">
        <v>684250</v>
      </c>
      <c r="G37" s="12" t="s">
        <v>25</v>
      </c>
      <c r="H37" s="4" t="s">
        <v>55</v>
      </c>
    </row>
    <row r="38" spans="2:8">
      <c r="B38" s="4" t="s">
        <v>59</v>
      </c>
      <c r="C38" s="11" t="s">
        <v>15</v>
      </c>
      <c r="D38" s="11">
        <v>61250</v>
      </c>
      <c r="E38" s="11">
        <v>298.2</v>
      </c>
      <c r="F38" s="11">
        <v>745500</v>
      </c>
      <c r="G38" s="12" t="s">
        <v>25</v>
      </c>
      <c r="H38" s="4" t="s">
        <v>55</v>
      </c>
    </row>
    <row r="39" spans="2:8">
      <c r="B39" s="4" t="s">
        <v>60</v>
      </c>
      <c r="C39" s="11" t="s">
        <v>15</v>
      </c>
      <c r="D39" s="11">
        <v>64800</v>
      </c>
      <c r="E39" s="11">
        <v>305.5</v>
      </c>
      <c r="F39" s="11">
        <v>810300</v>
      </c>
      <c r="G39" s="12" t="s">
        <v>25</v>
      </c>
      <c r="H39" s="4" t="s">
        <v>55</v>
      </c>
    </row>
    <row r="40" spans="2:8">
      <c r="B40" s="4" t="s">
        <v>61</v>
      </c>
      <c r="C40" s="11" t="s">
        <v>15</v>
      </c>
      <c r="D40" s="11">
        <v>68450</v>
      </c>
      <c r="E40" s="11">
        <v>312.8</v>
      </c>
      <c r="F40" s="11">
        <v>878750</v>
      </c>
      <c r="G40" s="12" t="s">
        <v>25</v>
      </c>
      <c r="H40" s="4" t="s">
        <v>55</v>
      </c>
    </row>
    <row r="41" spans="2:8">
      <c r="B41" s="4" t="s">
        <v>62</v>
      </c>
      <c r="C41" s="11" t="s">
        <v>15</v>
      </c>
      <c r="D41" s="11">
        <v>72200</v>
      </c>
      <c r="E41" s="11">
        <v>320.1</v>
      </c>
      <c r="F41" s="11">
        <v>950950</v>
      </c>
      <c r="G41" s="12" t="s">
        <v>25</v>
      </c>
      <c r="H41" s="4" t="s">
        <v>55</v>
      </c>
    </row>
    <row r="42" spans="2:8">
      <c r="B42" s="4" t="s">
        <v>63</v>
      </c>
      <c r="C42" s="11" t="s">
        <v>15</v>
      </c>
      <c r="D42" s="11">
        <v>76050</v>
      </c>
      <c r="E42" s="11">
        <v>327.4</v>
      </c>
      <c r="F42" s="11">
        <v>1027000</v>
      </c>
      <c r="G42" s="12" t="s">
        <v>25</v>
      </c>
      <c r="H42" s="4" t="s">
        <v>55</v>
      </c>
    </row>
    <row r="43" spans="2:8">
      <c r="B43" s="4" t="s">
        <v>64</v>
      </c>
      <c r="C43" s="11" t="s">
        <v>15</v>
      </c>
      <c r="D43" s="11">
        <v>80000</v>
      </c>
      <c r="E43" s="11">
        <v>334.7</v>
      </c>
      <c r="F43" s="11">
        <v>1107000</v>
      </c>
      <c r="G43" s="12" t="s">
        <v>25</v>
      </c>
      <c r="H43" s="4" t="s">
        <v>55</v>
      </c>
    </row>
    <row r="44" spans="2:8">
      <c r="B44" s="4" t="s">
        <v>65</v>
      </c>
      <c r="C44" s="11" t="s">
        <v>66</v>
      </c>
      <c r="D44" s="11">
        <v>84050</v>
      </c>
      <c r="E44" s="11">
        <v>342</v>
      </c>
      <c r="F44" s="11">
        <v>1191050</v>
      </c>
      <c r="G44" s="12" t="s">
        <v>25</v>
      </c>
      <c r="H44" s="4" t="s">
        <v>55</v>
      </c>
    </row>
    <row r="45" spans="2:8">
      <c r="B45" s="4" t="s">
        <v>67</v>
      </c>
      <c r="C45" s="11" t="s">
        <v>15</v>
      </c>
      <c r="D45" s="11">
        <v>88200</v>
      </c>
      <c r="E45" s="11">
        <v>349.3</v>
      </c>
      <c r="F45" s="11">
        <v>1279250</v>
      </c>
      <c r="G45" s="12" t="s">
        <v>25</v>
      </c>
      <c r="H45" s="4" t="s">
        <v>55</v>
      </c>
    </row>
    <row r="46" spans="2:8">
      <c r="B46" s="4" t="s">
        <v>68</v>
      </c>
      <c r="C46" s="11" t="s">
        <v>15</v>
      </c>
      <c r="D46" s="11">
        <v>92450</v>
      </c>
      <c r="E46" s="11">
        <v>356.6</v>
      </c>
      <c r="F46" s="11">
        <v>1371700</v>
      </c>
      <c r="G46" s="12" t="s">
        <v>25</v>
      </c>
      <c r="H46" s="4" t="s">
        <v>55</v>
      </c>
    </row>
    <row r="47" spans="2:8">
      <c r="B47" s="4" t="s">
        <v>69</v>
      </c>
      <c r="C47" s="11" t="s">
        <v>15</v>
      </c>
      <c r="D47" s="11">
        <v>96800</v>
      </c>
      <c r="E47" s="11">
        <v>363.9</v>
      </c>
      <c r="F47" s="11">
        <v>1468500</v>
      </c>
      <c r="G47" s="12" t="s">
        <v>25</v>
      </c>
      <c r="H47" s="4" t="s">
        <v>55</v>
      </c>
    </row>
    <row r="48" spans="2:8">
      <c r="B48" s="4" t="s">
        <v>70</v>
      </c>
      <c r="C48" s="11" t="s">
        <v>15</v>
      </c>
      <c r="D48" s="11">
        <v>101250</v>
      </c>
      <c r="E48" s="11">
        <v>371.2</v>
      </c>
      <c r="F48" s="11">
        <v>1569750</v>
      </c>
      <c r="G48" s="12" t="s">
        <v>25</v>
      </c>
      <c r="H48" s="4" t="s">
        <v>55</v>
      </c>
    </row>
    <row r="49" spans="2:8">
      <c r="B49" s="4" t="s">
        <v>71</v>
      </c>
      <c r="C49" s="11" t="s">
        <v>15</v>
      </c>
      <c r="D49" s="11">
        <v>105800</v>
      </c>
      <c r="E49" s="11">
        <v>378.5</v>
      </c>
      <c r="F49" s="11">
        <v>1675550</v>
      </c>
      <c r="G49" s="12" t="s">
        <v>25</v>
      </c>
      <c r="H49" s="4" t="s">
        <v>55</v>
      </c>
    </row>
    <row r="50" spans="2:8">
      <c r="B50" s="4" t="s">
        <v>72</v>
      </c>
      <c r="C50" s="11" t="s">
        <v>15</v>
      </c>
      <c r="D50" s="11">
        <v>110450</v>
      </c>
      <c r="E50" s="11">
        <v>385.8</v>
      </c>
      <c r="F50" s="11">
        <v>1786000</v>
      </c>
      <c r="G50" s="12" t="s">
        <v>25</v>
      </c>
      <c r="H50" s="4" t="s">
        <v>55</v>
      </c>
    </row>
    <row r="51" spans="2:8">
      <c r="B51" s="4" t="s">
        <v>73</v>
      </c>
      <c r="C51" s="11" t="s">
        <v>15</v>
      </c>
      <c r="D51" s="11">
        <v>115200</v>
      </c>
      <c r="E51" s="11">
        <v>393.1</v>
      </c>
      <c r="F51" s="11">
        <v>1901200</v>
      </c>
      <c r="G51" s="12" t="s">
        <v>25</v>
      </c>
      <c r="H51" s="4" t="s">
        <v>55</v>
      </c>
    </row>
    <row r="52" spans="2:8">
      <c r="B52" s="4" t="s">
        <v>74</v>
      </c>
      <c r="C52" s="11" t="s">
        <v>15</v>
      </c>
      <c r="D52" s="11">
        <v>120050</v>
      </c>
      <c r="E52" s="11">
        <v>400.4</v>
      </c>
      <c r="F52" s="11">
        <v>2021250</v>
      </c>
      <c r="G52" s="12" t="s">
        <v>25</v>
      </c>
      <c r="H52" s="4" t="s">
        <v>55</v>
      </c>
    </row>
    <row r="53" spans="2:8">
      <c r="B53" s="4" t="s">
        <v>75</v>
      </c>
      <c r="C53" s="11" t="s">
        <v>15</v>
      </c>
      <c r="D53" s="11">
        <v>125000</v>
      </c>
      <c r="E53" s="11">
        <v>407.7</v>
      </c>
      <c r="F53" s="11">
        <v>2146250</v>
      </c>
      <c r="G53" s="12" t="s">
        <v>25</v>
      </c>
      <c r="H53" s="4" t="s">
        <v>55</v>
      </c>
    </row>
    <row r="54" spans="2:8">
      <c r="B54" s="4" t="s">
        <v>76</v>
      </c>
      <c r="C54" s="11" t="s">
        <v>77</v>
      </c>
      <c r="D54" s="11">
        <v>130050</v>
      </c>
      <c r="E54" s="11">
        <v>415</v>
      </c>
      <c r="F54" s="11">
        <v>2276300</v>
      </c>
      <c r="G54" s="12" t="s">
        <v>25</v>
      </c>
      <c r="H54" s="4" t="s">
        <v>55</v>
      </c>
    </row>
    <row r="55" spans="2:8">
      <c r="B55" s="4" t="s">
        <v>78</v>
      </c>
      <c r="C55" s="11" t="s">
        <v>15</v>
      </c>
      <c r="D55" s="11">
        <v>135200</v>
      </c>
      <c r="E55" s="11">
        <v>422.3</v>
      </c>
      <c r="F55" s="11">
        <v>2411500</v>
      </c>
      <c r="G55" s="12" t="s">
        <v>25</v>
      </c>
      <c r="H55" s="4" t="s">
        <v>55</v>
      </c>
    </row>
    <row r="56" spans="2:8">
      <c r="B56" s="4" t="s">
        <v>79</v>
      </c>
      <c r="C56" s="11" t="s">
        <v>15</v>
      </c>
      <c r="D56" s="11">
        <v>140450</v>
      </c>
      <c r="E56" s="11">
        <v>429.6</v>
      </c>
      <c r="F56" s="11">
        <v>2551950</v>
      </c>
      <c r="G56" s="12" t="s">
        <v>25</v>
      </c>
      <c r="H56" s="4" t="s">
        <v>55</v>
      </c>
    </row>
    <row r="57" spans="2:8">
      <c r="B57" s="4" t="s">
        <v>80</v>
      </c>
      <c r="C57" s="11" t="s">
        <v>15</v>
      </c>
      <c r="D57" s="11">
        <v>145800</v>
      </c>
      <c r="E57" s="11">
        <v>436.9</v>
      </c>
      <c r="F57" s="11">
        <v>2697750</v>
      </c>
      <c r="G57" s="12" t="s">
        <v>25</v>
      </c>
      <c r="H57" s="4" t="s">
        <v>55</v>
      </c>
    </row>
    <row r="58" spans="2:8">
      <c r="B58" s="4" t="s">
        <v>81</v>
      </c>
      <c r="C58" s="11" t="s">
        <v>15</v>
      </c>
      <c r="D58" s="11">
        <v>151250</v>
      </c>
      <c r="E58" s="11">
        <v>444.2</v>
      </c>
      <c r="F58" s="11">
        <v>2849000</v>
      </c>
      <c r="G58" s="12" t="s">
        <v>25</v>
      </c>
      <c r="H58" s="4" t="s">
        <v>55</v>
      </c>
    </row>
    <row r="59" spans="2:8">
      <c r="B59" s="4" t="s">
        <v>82</v>
      </c>
      <c r="C59" s="11" t="s">
        <v>15</v>
      </c>
      <c r="D59" s="11">
        <v>156800</v>
      </c>
      <c r="E59" s="11">
        <v>451.5</v>
      </c>
      <c r="F59" s="11">
        <v>3005800</v>
      </c>
      <c r="G59" s="12" t="s">
        <v>25</v>
      </c>
      <c r="H59" s="4" t="s">
        <v>55</v>
      </c>
    </row>
    <row r="60" spans="2:8">
      <c r="B60" s="4" t="s">
        <v>83</v>
      </c>
      <c r="C60" s="11" t="s">
        <v>15</v>
      </c>
      <c r="D60" s="11">
        <v>162450</v>
      </c>
      <c r="E60" s="11">
        <v>458.8</v>
      </c>
      <c r="F60" s="11">
        <v>3168250</v>
      </c>
      <c r="G60" s="12" t="s">
        <v>25</v>
      </c>
      <c r="H60" s="4" t="s">
        <v>55</v>
      </c>
    </row>
    <row r="61" spans="2:8">
      <c r="B61" s="4" t="s">
        <v>84</v>
      </c>
      <c r="C61" s="11" t="s">
        <v>15</v>
      </c>
      <c r="D61" s="11">
        <v>168200</v>
      </c>
      <c r="E61" s="11">
        <v>466.1</v>
      </c>
      <c r="F61" s="11">
        <v>3336450</v>
      </c>
      <c r="G61" s="12" t="s">
        <v>25</v>
      </c>
      <c r="H61" s="4" t="s">
        <v>55</v>
      </c>
    </row>
    <row r="62" spans="2:8">
      <c r="B62" s="4" t="s">
        <v>85</v>
      </c>
      <c r="C62" s="11" t="s">
        <v>15</v>
      </c>
      <c r="D62" s="11">
        <v>174050</v>
      </c>
      <c r="E62" s="11">
        <v>473.4</v>
      </c>
      <c r="F62" s="11">
        <v>3510500</v>
      </c>
      <c r="G62" s="12" t="s">
        <v>25</v>
      </c>
      <c r="H62" s="4" t="s">
        <v>55</v>
      </c>
    </row>
    <row r="63" spans="2:8">
      <c r="B63" s="4" t="s">
        <v>86</v>
      </c>
      <c r="C63" s="11" t="s">
        <v>15</v>
      </c>
      <c r="D63" s="11">
        <v>180000</v>
      </c>
      <c r="E63" s="11">
        <v>480.7</v>
      </c>
      <c r="F63" s="11">
        <v>3690500</v>
      </c>
      <c r="G63" s="12" t="s">
        <v>25</v>
      </c>
      <c r="H63" s="4" t="s">
        <v>55</v>
      </c>
    </row>
    <row r="64" spans="2:8">
      <c r="B64" s="4" t="s">
        <v>87</v>
      </c>
      <c r="C64" s="11" t="s">
        <v>31</v>
      </c>
      <c r="D64" s="11">
        <v>186050</v>
      </c>
      <c r="E64" s="11">
        <v>488</v>
      </c>
      <c r="F64" s="11">
        <v>3876550</v>
      </c>
      <c r="G64" s="12" t="s">
        <v>25</v>
      </c>
      <c r="H64" s="4" t="s">
        <v>88</v>
      </c>
    </row>
    <row r="65" spans="2:8">
      <c r="B65" s="4" t="s">
        <v>89</v>
      </c>
      <c r="C65" s="11" t="s">
        <v>15</v>
      </c>
      <c r="D65" s="11">
        <v>192200</v>
      </c>
      <c r="E65" s="11">
        <v>495.3</v>
      </c>
      <c r="F65" s="11">
        <v>4068750</v>
      </c>
      <c r="G65" s="12" t="s">
        <v>25</v>
      </c>
      <c r="H65" s="4" t="s">
        <v>88</v>
      </c>
    </row>
    <row r="66" spans="2:8">
      <c r="B66" s="4" t="s">
        <v>90</v>
      </c>
      <c r="C66" s="11" t="s">
        <v>15</v>
      </c>
      <c r="D66" s="11">
        <v>198450</v>
      </c>
      <c r="E66" s="11">
        <v>502.6</v>
      </c>
      <c r="F66" s="11">
        <v>4267200</v>
      </c>
      <c r="G66" s="12" t="s">
        <v>25</v>
      </c>
      <c r="H66" s="4" t="s">
        <v>88</v>
      </c>
    </row>
    <row r="67" spans="2:8">
      <c r="B67" s="4" t="s">
        <v>91</v>
      </c>
      <c r="C67" s="11" t="s">
        <v>15</v>
      </c>
      <c r="D67" s="11">
        <v>204800</v>
      </c>
      <c r="E67" s="11">
        <v>509.9</v>
      </c>
      <c r="F67" s="11">
        <v>4472000</v>
      </c>
      <c r="G67" s="12" t="s">
        <v>25</v>
      </c>
      <c r="H67" s="4" t="s">
        <v>88</v>
      </c>
    </row>
    <row r="68" spans="2:8">
      <c r="B68" s="4" t="s">
        <v>92</v>
      </c>
      <c r="C68" s="11" t="s">
        <v>15</v>
      </c>
      <c r="D68" s="11">
        <v>211250</v>
      </c>
      <c r="E68" s="11">
        <v>517.2</v>
      </c>
      <c r="F68" s="11">
        <v>4683250</v>
      </c>
      <c r="G68" s="12" t="s">
        <v>25</v>
      </c>
      <c r="H68" s="4" t="s">
        <v>88</v>
      </c>
    </row>
    <row r="69" spans="2:8">
      <c r="B69" s="4" t="s">
        <v>93</v>
      </c>
      <c r="C69" s="11" t="s">
        <v>15</v>
      </c>
      <c r="D69" s="11">
        <v>217800</v>
      </c>
      <c r="E69" s="11">
        <v>524.5</v>
      </c>
      <c r="F69" s="11">
        <v>4901050</v>
      </c>
      <c r="G69" s="12" t="s">
        <v>25</v>
      </c>
      <c r="H69" s="4" t="s">
        <v>88</v>
      </c>
    </row>
    <row r="70" spans="2:8">
      <c r="B70" s="4" t="s">
        <v>94</v>
      </c>
      <c r="C70" s="11" t="s">
        <v>15</v>
      </c>
      <c r="D70" s="11">
        <v>224450</v>
      </c>
      <c r="E70" s="11">
        <v>531.8</v>
      </c>
      <c r="F70" s="11">
        <v>5125500</v>
      </c>
      <c r="G70" s="12" t="s">
        <v>25</v>
      </c>
      <c r="H70" s="4" t="s">
        <v>88</v>
      </c>
    </row>
    <row r="71" spans="2:8">
      <c r="B71" s="4" t="s">
        <v>95</v>
      </c>
      <c r="C71" s="11" t="s">
        <v>15</v>
      </c>
      <c r="D71" s="11">
        <v>231200</v>
      </c>
      <c r="E71" s="11">
        <v>539.1</v>
      </c>
      <c r="F71" s="11">
        <v>5356700</v>
      </c>
      <c r="G71" s="12" t="s">
        <v>25</v>
      </c>
      <c r="H71" s="4" t="s">
        <v>88</v>
      </c>
    </row>
    <row r="72" spans="2:8">
      <c r="B72" s="4" t="s">
        <v>96</v>
      </c>
      <c r="C72" s="11" t="s">
        <v>15</v>
      </c>
      <c r="D72" s="11">
        <v>238050</v>
      </c>
      <c r="E72" s="11">
        <v>546.4</v>
      </c>
      <c r="F72" s="11">
        <v>5594750</v>
      </c>
      <c r="G72" s="12" t="s">
        <v>25</v>
      </c>
      <c r="H72" s="4" t="s">
        <v>88</v>
      </c>
    </row>
    <row r="73" spans="2:8">
      <c r="B73" s="4" t="s">
        <v>97</v>
      </c>
      <c r="C73" s="11" t="s">
        <v>15</v>
      </c>
      <c r="D73" s="11">
        <v>245000</v>
      </c>
      <c r="E73" s="11">
        <v>553.7</v>
      </c>
      <c r="F73" s="11">
        <v>5839750</v>
      </c>
      <c r="G73" s="12" t="s">
        <v>25</v>
      </c>
      <c r="H73" s="4" t="s">
        <v>88</v>
      </c>
    </row>
    <row r="74" spans="2:8">
      <c r="B74" s="4" t="s">
        <v>98</v>
      </c>
      <c r="C74" s="11" t="s">
        <v>99</v>
      </c>
      <c r="D74" s="11">
        <v>252050</v>
      </c>
      <c r="E74" s="11">
        <v>561</v>
      </c>
      <c r="F74" s="11">
        <v>6091800</v>
      </c>
      <c r="G74" s="12" t="s">
        <v>25</v>
      </c>
      <c r="H74" s="4" t="s">
        <v>88</v>
      </c>
    </row>
    <row r="75" spans="2:8">
      <c r="B75" s="4" t="s">
        <v>100</v>
      </c>
      <c r="C75" s="11" t="s">
        <v>15</v>
      </c>
      <c r="D75" s="11">
        <v>259200</v>
      </c>
      <c r="E75" s="11">
        <v>568.3</v>
      </c>
      <c r="F75" s="11">
        <v>6351000</v>
      </c>
      <c r="G75" s="12" t="s">
        <v>25</v>
      </c>
      <c r="H75" s="4" t="s">
        <v>88</v>
      </c>
    </row>
    <row r="76" spans="2:8">
      <c r="B76" s="4" t="s">
        <v>101</v>
      </c>
      <c r="C76" s="11" t="s">
        <v>15</v>
      </c>
      <c r="D76" s="11">
        <v>266450</v>
      </c>
      <c r="E76" s="11">
        <v>575.6</v>
      </c>
      <c r="F76" s="11">
        <v>6617450</v>
      </c>
      <c r="G76" s="12" t="s">
        <v>25</v>
      </c>
      <c r="H76" s="4" t="s">
        <v>88</v>
      </c>
    </row>
    <row r="77" spans="2:8">
      <c r="B77" s="4" t="s">
        <v>102</v>
      </c>
      <c r="C77" s="11" t="s">
        <v>15</v>
      </c>
      <c r="D77" s="11">
        <v>273800</v>
      </c>
      <c r="E77" s="11">
        <v>582.9</v>
      </c>
      <c r="F77" s="11">
        <v>6891250</v>
      </c>
      <c r="G77" s="12" t="s">
        <v>25</v>
      </c>
      <c r="H77" s="4" t="s">
        <v>88</v>
      </c>
    </row>
    <row r="78" spans="2:8">
      <c r="B78" s="4" t="s">
        <v>103</v>
      </c>
      <c r="C78" s="11" t="s">
        <v>15</v>
      </c>
      <c r="D78" s="11">
        <v>281250</v>
      </c>
      <c r="E78" s="11">
        <v>590.2</v>
      </c>
      <c r="F78" s="11">
        <v>7172500</v>
      </c>
      <c r="G78" s="12" t="s">
        <v>25</v>
      </c>
      <c r="H78" s="4" t="s">
        <v>88</v>
      </c>
    </row>
    <row r="79" spans="2:8">
      <c r="B79" s="4" t="s">
        <v>104</v>
      </c>
      <c r="C79" s="11" t="s">
        <v>15</v>
      </c>
      <c r="D79" s="11">
        <v>288800</v>
      </c>
      <c r="E79" s="11">
        <v>597.5</v>
      </c>
      <c r="F79" s="11">
        <v>7461300</v>
      </c>
      <c r="G79" s="12" t="s">
        <v>25</v>
      </c>
      <c r="H79" s="4" t="s">
        <v>88</v>
      </c>
    </row>
    <row r="80" spans="2:8">
      <c r="B80" s="4" t="s">
        <v>105</v>
      </c>
      <c r="C80" s="11" t="s">
        <v>15</v>
      </c>
      <c r="D80" s="11">
        <v>296450</v>
      </c>
      <c r="E80" s="11">
        <v>604.8</v>
      </c>
      <c r="F80" s="11">
        <v>7757750</v>
      </c>
      <c r="G80" s="12" t="s">
        <v>25</v>
      </c>
      <c r="H80" s="4" t="s">
        <v>88</v>
      </c>
    </row>
    <row r="81" spans="2:8">
      <c r="B81" s="4" t="s">
        <v>106</v>
      </c>
      <c r="C81" s="11" t="s">
        <v>15</v>
      </c>
      <c r="D81" s="11">
        <v>304200</v>
      </c>
      <c r="E81" s="11">
        <v>612.1</v>
      </c>
      <c r="F81" s="11">
        <v>8061950</v>
      </c>
      <c r="G81" s="12" t="s">
        <v>25</v>
      </c>
      <c r="H81" s="4" t="s">
        <v>88</v>
      </c>
    </row>
    <row r="82" spans="2:8">
      <c r="B82" s="4" t="s">
        <v>107</v>
      </c>
      <c r="C82" s="11" t="s">
        <v>15</v>
      </c>
      <c r="D82" s="11">
        <v>312050</v>
      </c>
      <c r="E82" s="11">
        <v>619.4</v>
      </c>
      <c r="F82" s="11">
        <v>8374000</v>
      </c>
      <c r="G82" s="12" t="s">
        <v>25</v>
      </c>
      <c r="H82" s="4" t="s">
        <v>88</v>
      </c>
    </row>
    <row r="83" spans="2:8">
      <c r="B83" s="4" t="s">
        <v>108</v>
      </c>
      <c r="C83" s="11" t="s">
        <v>15</v>
      </c>
      <c r="D83" s="11">
        <v>320000</v>
      </c>
      <c r="E83" s="11">
        <v>626.7</v>
      </c>
      <c r="F83" s="11">
        <v>8694000</v>
      </c>
      <c r="G83" s="12" t="s">
        <v>25</v>
      </c>
      <c r="H83" s="4" t="s">
        <v>88</v>
      </c>
    </row>
    <row r="84" spans="2:8">
      <c r="B84" s="4" t="s">
        <v>109</v>
      </c>
      <c r="C84" s="11" t="s">
        <v>31</v>
      </c>
      <c r="D84" s="11">
        <v>328050</v>
      </c>
      <c r="E84" s="11">
        <v>634</v>
      </c>
      <c r="F84" s="11">
        <v>9022050</v>
      </c>
      <c r="G84" s="12" t="s">
        <v>25</v>
      </c>
      <c r="H84" s="4" t="s">
        <v>88</v>
      </c>
    </row>
    <row r="85" spans="2:8">
      <c r="B85" s="4" t="s">
        <v>110</v>
      </c>
      <c r="C85" s="11" t="s">
        <v>15</v>
      </c>
      <c r="D85" s="11">
        <v>336200</v>
      </c>
      <c r="E85" s="11">
        <v>641.3</v>
      </c>
      <c r="F85" s="11">
        <v>9358250</v>
      </c>
      <c r="G85" s="12" t="s">
        <v>25</v>
      </c>
      <c r="H85" s="4" t="s">
        <v>88</v>
      </c>
    </row>
    <row r="86" spans="2:8">
      <c r="B86" s="4" t="s">
        <v>111</v>
      </c>
      <c r="C86" s="11" t="s">
        <v>15</v>
      </c>
      <c r="D86" s="11">
        <v>344450</v>
      </c>
      <c r="E86" s="11">
        <v>648.6</v>
      </c>
      <c r="F86" s="11">
        <v>9702700</v>
      </c>
      <c r="G86" s="12" t="s">
        <v>25</v>
      </c>
      <c r="H86" s="4" t="s">
        <v>88</v>
      </c>
    </row>
    <row r="87" spans="2:8">
      <c r="B87" s="4" t="s">
        <v>112</v>
      </c>
      <c r="C87" s="11" t="s">
        <v>15</v>
      </c>
      <c r="D87" s="11">
        <v>352800</v>
      </c>
      <c r="E87" s="11">
        <v>655.9</v>
      </c>
      <c r="F87" s="11">
        <v>10055500</v>
      </c>
      <c r="G87" s="12" t="s">
        <v>25</v>
      </c>
      <c r="H87" s="4" t="s">
        <v>88</v>
      </c>
    </row>
    <row r="88" spans="2:8">
      <c r="B88" s="4" t="s">
        <v>113</v>
      </c>
      <c r="C88" s="11" t="s">
        <v>15</v>
      </c>
      <c r="D88" s="11">
        <v>361250</v>
      </c>
      <c r="E88" s="11">
        <v>663.2</v>
      </c>
      <c r="F88" s="11">
        <v>10416750</v>
      </c>
      <c r="G88" s="12" t="s">
        <v>25</v>
      </c>
      <c r="H88" s="4" t="s">
        <v>88</v>
      </c>
    </row>
    <row r="89" spans="2:8">
      <c r="B89" s="4" t="s">
        <v>114</v>
      </c>
      <c r="C89" s="11" t="s">
        <v>15</v>
      </c>
      <c r="D89" s="11">
        <v>369800</v>
      </c>
      <c r="E89" s="11">
        <v>670.5</v>
      </c>
      <c r="F89" s="11">
        <v>10786550</v>
      </c>
      <c r="G89" s="12" t="s">
        <v>25</v>
      </c>
      <c r="H89" s="4" t="s">
        <v>88</v>
      </c>
    </row>
    <row r="90" spans="2:8">
      <c r="B90" s="4" t="s">
        <v>115</v>
      </c>
      <c r="C90" s="11" t="s">
        <v>15</v>
      </c>
      <c r="D90" s="11">
        <v>378450</v>
      </c>
      <c r="E90" s="11">
        <v>677.8</v>
      </c>
      <c r="F90" s="11">
        <v>11165000</v>
      </c>
      <c r="G90" s="12" t="s">
        <v>25</v>
      </c>
      <c r="H90" s="4" t="s">
        <v>88</v>
      </c>
    </row>
    <row r="91" spans="2:8">
      <c r="B91" s="4" t="s">
        <v>116</v>
      </c>
      <c r="C91" s="11" t="s">
        <v>15</v>
      </c>
      <c r="D91" s="11">
        <v>387200</v>
      </c>
      <c r="E91" s="11">
        <v>685.1</v>
      </c>
      <c r="F91" s="11">
        <v>11552200</v>
      </c>
      <c r="G91" s="12" t="s">
        <v>25</v>
      </c>
      <c r="H91" s="4" t="s">
        <v>88</v>
      </c>
    </row>
    <row r="92" spans="2:8">
      <c r="B92" s="4" t="s">
        <v>117</v>
      </c>
      <c r="C92" s="11" t="s">
        <v>15</v>
      </c>
      <c r="D92" s="11">
        <v>396050</v>
      </c>
      <c r="E92" s="11">
        <v>692.4</v>
      </c>
      <c r="F92" s="11">
        <v>11948250</v>
      </c>
      <c r="G92" s="12" t="s">
        <v>25</v>
      </c>
      <c r="H92" s="4" t="s">
        <v>88</v>
      </c>
    </row>
    <row r="93" spans="2:8">
      <c r="B93" s="4" t="s">
        <v>118</v>
      </c>
      <c r="C93" s="11" t="s">
        <v>15</v>
      </c>
      <c r="D93" s="11">
        <v>405000</v>
      </c>
      <c r="E93" s="11">
        <v>699.7</v>
      </c>
      <c r="F93" s="11">
        <v>12353250</v>
      </c>
      <c r="G93" s="12" t="s">
        <v>25</v>
      </c>
      <c r="H93" s="4" t="s">
        <v>88</v>
      </c>
    </row>
    <row r="94" spans="2:8">
      <c r="B94" s="4" t="s">
        <v>119</v>
      </c>
      <c r="C94" s="11" t="s">
        <v>77</v>
      </c>
      <c r="D94" s="11">
        <v>414050</v>
      </c>
      <c r="E94" s="11">
        <v>707</v>
      </c>
      <c r="F94" s="11">
        <v>12767300</v>
      </c>
      <c r="G94" s="12" t="s">
        <v>25</v>
      </c>
      <c r="H94" s="4" t="s">
        <v>120</v>
      </c>
    </row>
    <row r="95" spans="2:8">
      <c r="B95" s="4" t="s">
        <v>121</v>
      </c>
      <c r="C95" s="11" t="s">
        <v>15</v>
      </c>
      <c r="D95" s="11">
        <v>423200</v>
      </c>
      <c r="E95" s="11">
        <v>714.3</v>
      </c>
      <c r="F95" s="11">
        <v>13190500</v>
      </c>
      <c r="G95" s="12" t="s">
        <v>25</v>
      </c>
      <c r="H95" s="4" t="s">
        <v>120</v>
      </c>
    </row>
    <row r="96" spans="2:8">
      <c r="B96" s="4" t="s">
        <v>122</v>
      </c>
      <c r="C96" s="11" t="s">
        <v>15</v>
      </c>
      <c r="D96" s="11">
        <v>432450</v>
      </c>
      <c r="E96" s="11">
        <v>721.6</v>
      </c>
      <c r="F96" s="11">
        <v>13622950</v>
      </c>
      <c r="G96" s="12" t="s">
        <v>25</v>
      </c>
      <c r="H96" s="4" t="s">
        <v>120</v>
      </c>
    </row>
    <row r="97" spans="2:8">
      <c r="B97" s="4" t="s">
        <v>123</v>
      </c>
      <c r="C97" s="11" t="s">
        <v>15</v>
      </c>
      <c r="D97" s="11">
        <v>441800</v>
      </c>
      <c r="E97" s="11">
        <v>728.9</v>
      </c>
      <c r="F97" s="11">
        <v>14064750</v>
      </c>
      <c r="G97" s="12" t="s">
        <v>25</v>
      </c>
      <c r="H97" s="4" t="s">
        <v>120</v>
      </c>
    </row>
    <row r="98" spans="2:8">
      <c r="B98" s="4" t="s">
        <v>124</v>
      </c>
      <c r="C98" s="11" t="s">
        <v>15</v>
      </c>
      <c r="D98" s="11">
        <v>451250</v>
      </c>
      <c r="E98" s="11">
        <v>736.2</v>
      </c>
      <c r="F98" s="11">
        <v>14516000</v>
      </c>
      <c r="G98" s="12" t="s">
        <v>25</v>
      </c>
      <c r="H98" s="4" t="s">
        <v>120</v>
      </c>
    </row>
    <row r="99" spans="2:8">
      <c r="B99" s="4" t="s">
        <v>125</v>
      </c>
      <c r="C99" s="11" t="s">
        <v>15</v>
      </c>
      <c r="D99" s="11">
        <v>460800</v>
      </c>
      <c r="E99" s="11">
        <v>743.5</v>
      </c>
      <c r="F99" s="11">
        <v>14976800</v>
      </c>
      <c r="G99" s="12" t="s">
        <v>25</v>
      </c>
      <c r="H99" s="4" t="s">
        <v>120</v>
      </c>
    </row>
    <row r="100" spans="2:8">
      <c r="B100" s="4" t="s">
        <v>126</v>
      </c>
      <c r="C100" s="11" t="s">
        <v>15</v>
      </c>
      <c r="D100" s="11">
        <v>470450</v>
      </c>
      <c r="E100" s="11">
        <v>750.8</v>
      </c>
      <c r="F100" s="11">
        <v>15447250</v>
      </c>
      <c r="G100" s="12" t="s">
        <v>25</v>
      </c>
      <c r="H100" s="4" t="s">
        <v>120</v>
      </c>
    </row>
    <row r="101" spans="2:8">
      <c r="B101" s="4" t="s">
        <v>127</v>
      </c>
      <c r="C101" s="11" t="s">
        <v>15</v>
      </c>
      <c r="D101" s="11">
        <v>480200</v>
      </c>
      <c r="E101" s="11">
        <v>758.1</v>
      </c>
      <c r="F101" s="11">
        <v>15927450</v>
      </c>
      <c r="G101" s="12" t="s">
        <v>25</v>
      </c>
      <c r="H101" s="4" t="s">
        <v>120</v>
      </c>
    </row>
    <row r="102" spans="2:8">
      <c r="B102" s="4" t="s">
        <v>128</v>
      </c>
      <c r="C102" s="11" t="s">
        <v>15</v>
      </c>
      <c r="D102" s="11">
        <v>490050</v>
      </c>
      <c r="E102" s="11">
        <v>765.4</v>
      </c>
      <c r="F102" s="11">
        <v>16417500</v>
      </c>
      <c r="G102" s="12" t="s">
        <v>25</v>
      </c>
      <c r="H102" s="4" t="s">
        <v>120</v>
      </c>
    </row>
    <row r="103" spans="2:8">
      <c r="B103" s="4" t="s">
        <v>25</v>
      </c>
      <c r="C103" s="11" t="s">
        <v>15</v>
      </c>
      <c r="D103" s="11">
        <v>500000</v>
      </c>
      <c r="E103" s="11">
        <v>772.7</v>
      </c>
      <c r="F103" s="11">
        <v>16917500</v>
      </c>
      <c r="G103" s="12" t="s">
        <v>25</v>
      </c>
      <c r="H103" s="4" t="s">
        <v>120</v>
      </c>
    </row>
    <row r="104" spans="2:8">
      <c r="B104" s="4" t="s">
        <v>129</v>
      </c>
      <c r="C104" s="11" t="s">
        <v>31</v>
      </c>
      <c r="D104" s="11">
        <v>510050</v>
      </c>
      <c r="E104" s="11">
        <v>780</v>
      </c>
      <c r="F104" s="11">
        <v>17427550</v>
      </c>
      <c r="G104" s="12" t="s">
        <v>25</v>
      </c>
      <c r="H104" s="4" t="s">
        <v>120</v>
      </c>
    </row>
    <row r="105" spans="2:8">
      <c r="B105" s="4" t="s">
        <v>130</v>
      </c>
      <c r="C105" s="11" t="s">
        <v>15</v>
      </c>
      <c r="D105" s="11">
        <v>520200</v>
      </c>
      <c r="E105" s="11">
        <v>787.3</v>
      </c>
      <c r="F105" s="11">
        <v>17947750</v>
      </c>
      <c r="G105" s="12" t="s">
        <v>25</v>
      </c>
      <c r="H105" s="4" t="s">
        <v>120</v>
      </c>
    </row>
    <row r="106" spans="2:8">
      <c r="B106" s="4" t="s">
        <v>131</v>
      </c>
      <c r="C106" s="11" t="s">
        <v>15</v>
      </c>
      <c r="D106" s="11">
        <v>530450</v>
      </c>
      <c r="E106" s="11">
        <v>794.6</v>
      </c>
      <c r="F106" s="11">
        <v>18478200</v>
      </c>
      <c r="G106" s="12" t="s">
        <v>25</v>
      </c>
      <c r="H106" s="4" t="s">
        <v>120</v>
      </c>
    </row>
    <row r="107" spans="2:8">
      <c r="B107" s="4" t="s">
        <v>132</v>
      </c>
      <c r="C107" s="11" t="s">
        <v>15</v>
      </c>
      <c r="D107" s="11">
        <v>540800</v>
      </c>
      <c r="E107" s="11">
        <v>801.9</v>
      </c>
      <c r="F107" s="11">
        <v>19019000</v>
      </c>
      <c r="G107" s="12" t="s">
        <v>25</v>
      </c>
      <c r="H107" s="4" t="s">
        <v>120</v>
      </c>
    </row>
    <row r="108" spans="2:8">
      <c r="B108" s="4" t="s">
        <v>133</v>
      </c>
      <c r="C108" s="11" t="s">
        <v>15</v>
      </c>
      <c r="D108" s="11">
        <v>551250</v>
      </c>
      <c r="E108" s="11">
        <v>809.2</v>
      </c>
      <c r="F108" s="11">
        <v>19570250</v>
      </c>
      <c r="G108" s="12" t="s">
        <v>25</v>
      </c>
      <c r="H108" s="4" t="s">
        <v>120</v>
      </c>
    </row>
    <row r="109" spans="2:8">
      <c r="B109" s="4" t="s">
        <v>134</v>
      </c>
      <c r="C109" s="11" t="s">
        <v>15</v>
      </c>
      <c r="D109" s="11">
        <v>561800</v>
      </c>
      <c r="E109" s="11">
        <v>816.5</v>
      </c>
      <c r="F109" s="11">
        <v>20132050</v>
      </c>
      <c r="G109" s="12" t="s">
        <v>25</v>
      </c>
      <c r="H109" s="4" t="s">
        <v>120</v>
      </c>
    </row>
    <row r="110" spans="2:8">
      <c r="B110" s="4" t="s">
        <v>135</v>
      </c>
      <c r="C110" s="11" t="s">
        <v>15</v>
      </c>
      <c r="D110" s="11">
        <v>572450</v>
      </c>
      <c r="E110" s="11">
        <v>823.8</v>
      </c>
      <c r="F110" s="11">
        <v>20704500</v>
      </c>
      <c r="G110" s="12" t="s">
        <v>25</v>
      </c>
      <c r="H110" s="4" t="s">
        <v>120</v>
      </c>
    </row>
    <row r="111" spans="2:8">
      <c r="B111" s="4" t="s">
        <v>136</v>
      </c>
      <c r="C111" s="11" t="s">
        <v>15</v>
      </c>
      <c r="D111" s="11">
        <v>583200</v>
      </c>
      <c r="E111" s="11">
        <v>831.1</v>
      </c>
      <c r="F111" s="11">
        <v>21287700</v>
      </c>
      <c r="G111" s="12" t="s">
        <v>25</v>
      </c>
      <c r="H111" s="4" t="s">
        <v>120</v>
      </c>
    </row>
    <row r="112" spans="2:8">
      <c r="B112" s="4" t="s">
        <v>137</v>
      </c>
      <c r="C112" s="11" t="s">
        <v>15</v>
      </c>
      <c r="D112" s="11">
        <v>594050</v>
      </c>
      <c r="E112" s="11">
        <v>838.4</v>
      </c>
      <c r="F112" s="11">
        <v>21881750</v>
      </c>
      <c r="G112" s="12" t="s">
        <v>25</v>
      </c>
      <c r="H112" s="4" t="s">
        <v>120</v>
      </c>
    </row>
    <row r="113" spans="2:8">
      <c r="B113" s="4" t="s">
        <v>138</v>
      </c>
      <c r="C113" s="11" t="s">
        <v>15</v>
      </c>
      <c r="D113" s="11">
        <v>605000</v>
      </c>
      <c r="E113" s="11">
        <v>845.7</v>
      </c>
      <c r="F113" s="11">
        <v>22486750</v>
      </c>
      <c r="G113" s="12" t="s">
        <v>25</v>
      </c>
      <c r="H113" s="4" t="s">
        <v>120</v>
      </c>
    </row>
    <row r="114" spans="2:8">
      <c r="B114" s="4" t="s">
        <v>139</v>
      </c>
      <c r="C114" s="4" t="s">
        <v>140</v>
      </c>
      <c r="D114" s="11">
        <v>616050</v>
      </c>
      <c r="E114" s="11">
        <v>853</v>
      </c>
      <c r="F114" s="11">
        <v>23102800</v>
      </c>
      <c r="G114" s="12" t="s">
        <v>25</v>
      </c>
      <c r="H114" s="4" t="s">
        <v>120</v>
      </c>
    </row>
    <row r="115" spans="2:8">
      <c r="B115" s="4" t="s">
        <v>141</v>
      </c>
      <c r="C115" s="11" t="s">
        <v>15</v>
      </c>
      <c r="D115" s="11">
        <v>627200</v>
      </c>
      <c r="E115" s="11">
        <v>860.3</v>
      </c>
      <c r="F115" s="11">
        <v>23730000</v>
      </c>
      <c r="G115" s="12" t="s">
        <v>25</v>
      </c>
      <c r="H115" s="4" t="s">
        <v>120</v>
      </c>
    </row>
    <row r="116" spans="2:8">
      <c r="B116" s="4" t="s">
        <v>142</v>
      </c>
      <c r="C116" s="11" t="s">
        <v>15</v>
      </c>
      <c r="D116" s="11">
        <v>638450</v>
      </c>
      <c r="E116" s="11">
        <v>867.6</v>
      </c>
      <c r="F116" s="11">
        <v>24368450</v>
      </c>
      <c r="G116" s="12" t="s">
        <v>25</v>
      </c>
      <c r="H116" s="4" t="s">
        <v>120</v>
      </c>
    </row>
    <row r="117" spans="2:8">
      <c r="B117" s="4" t="s">
        <v>143</v>
      </c>
      <c r="C117" s="11" t="s">
        <v>15</v>
      </c>
      <c r="D117" s="11">
        <v>649800</v>
      </c>
      <c r="E117" s="11">
        <v>874.9</v>
      </c>
      <c r="F117" s="11">
        <v>25018250</v>
      </c>
      <c r="G117" s="12" t="s">
        <v>25</v>
      </c>
      <c r="H117" s="4" t="s">
        <v>120</v>
      </c>
    </row>
    <row r="118" spans="2:8">
      <c r="B118" s="4" t="s">
        <v>144</v>
      </c>
      <c r="C118" s="11" t="s">
        <v>15</v>
      </c>
      <c r="D118" s="11">
        <v>661250</v>
      </c>
      <c r="E118" s="11">
        <v>882.2</v>
      </c>
      <c r="F118" s="11">
        <v>25679500</v>
      </c>
      <c r="G118" s="12" t="s">
        <v>25</v>
      </c>
      <c r="H118" s="4" t="s">
        <v>120</v>
      </c>
    </row>
    <row r="119" spans="2:8">
      <c r="B119" s="4" t="s">
        <v>145</v>
      </c>
      <c r="C119" s="11" t="s">
        <v>15</v>
      </c>
      <c r="D119" s="11">
        <v>672800</v>
      </c>
      <c r="E119" s="11">
        <v>889.5</v>
      </c>
      <c r="F119" s="11">
        <v>26352300</v>
      </c>
      <c r="G119" s="12" t="s">
        <v>25</v>
      </c>
      <c r="H119" s="4" t="s">
        <v>120</v>
      </c>
    </row>
    <row r="120" spans="2:8">
      <c r="B120" s="4" t="s">
        <v>146</v>
      </c>
      <c r="C120" s="11" t="s">
        <v>15</v>
      </c>
      <c r="D120" s="11">
        <v>684450</v>
      </c>
      <c r="E120" s="11">
        <v>896.8</v>
      </c>
      <c r="F120" s="11">
        <v>27036750</v>
      </c>
      <c r="G120" s="12" t="s">
        <v>25</v>
      </c>
      <c r="H120" s="4" t="s">
        <v>120</v>
      </c>
    </row>
    <row r="121" spans="2:8">
      <c r="B121" s="4" t="s">
        <v>147</v>
      </c>
      <c r="C121" s="11" t="s">
        <v>15</v>
      </c>
      <c r="D121" s="11">
        <v>696200</v>
      </c>
      <c r="E121" s="11">
        <v>904.1</v>
      </c>
      <c r="F121" s="11">
        <v>27732950</v>
      </c>
      <c r="G121" s="12" t="s">
        <v>25</v>
      </c>
      <c r="H121" s="4" t="s">
        <v>120</v>
      </c>
    </row>
    <row r="122" spans="2:8">
      <c r="B122" s="4" t="s">
        <v>148</v>
      </c>
      <c r="C122" s="11" t="s">
        <v>15</v>
      </c>
      <c r="D122" s="11">
        <v>708050</v>
      </c>
      <c r="E122" s="11">
        <v>911.4</v>
      </c>
      <c r="F122" s="11">
        <v>28441000</v>
      </c>
      <c r="G122" s="12" t="s">
        <v>25</v>
      </c>
      <c r="H122" s="4" t="s">
        <v>120</v>
      </c>
    </row>
    <row r="123" spans="2:8">
      <c r="B123" s="4" t="s">
        <v>149</v>
      </c>
      <c r="C123" s="11" t="s">
        <v>15</v>
      </c>
      <c r="D123" s="11">
        <v>720000</v>
      </c>
      <c r="E123" s="11">
        <v>918.7</v>
      </c>
      <c r="F123" s="11">
        <v>29161000</v>
      </c>
      <c r="G123" s="12" t="s">
        <v>25</v>
      </c>
      <c r="H123" s="4" t="s">
        <v>120</v>
      </c>
    </row>
    <row r="124" spans="2:8">
      <c r="B124" s="4" t="s">
        <v>150</v>
      </c>
      <c r="C124" s="11" t="s">
        <v>66</v>
      </c>
      <c r="D124" s="11">
        <v>732050</v>
      </c>
      <c r="E124" s="11">
        <v>926</v>
      </c>
      <c r="F124" s="11">
        <v>29893050</v>
      </c>
      <c r="G124" s="12" t="s">
        <v>25</v>
      </c>
      <c r="H124" s="4" t="s">
        <v>151</v>
      </c>
    </row>
    <row r="125" spans="2:8">
      <c r="B125" s="4" t="s">
        <v>152</v>
      </c>
      <c r="C125" s="11" t="s">
        <v>15</v>
      </c>
      <c r="D125" s="11">
        <v>744200</v>
      </c>
      <c r="E125" s="11">
        <v>933.3</v>
      </c>
      <c r="F125" s="11">
        <v>30637250</v>
      </c>
      <c r="G125" s="12" t="s">
        <v>25</v>
      </c>
      <c r="H125" s="4" t="s">
        <v>151</v>
      </c>
    </row>
    <row r="126" spans="2:8">
      <c r="B126" s="4" t="s">
        <v>153</v>
      </c>
      <c r="C126" s="11" t="s">
        <v>15</v>
      </c>
      <c r="D126" s="11">
        <v>756450</v>
      </c>
      <c r="E126" s="11">
        <v>940.6</v>
      </c>
      <c r="F126" s="11">
        <v>31393700</v>
      </c>
      <c r="G126" s="12" t="s">
        <v>25</v>
      </c>
      <c r="H126" s="4" t="s">
        <v>151</v>
      </c>
    </row>
    <row r="127" spans="2:8">
      <c r="B127" s="4" t="s">
        <v>154</v>
      </c>
      <c r="C127" s="11" t="s">
        <v>15</v>
      </c>
      <c r="D127" s="11">
        <v>768800</v>
      </c>
      <c r="E127" s="11">
        <v>947.9</v>
      </c>
      <c r="F127" s="11">
        <v>32162500</v>
      </c>
      <c r="G127" s="12" t="s">
        <v>25</v>
      </c>
      <c r="H127" s="4" t="s">
        <v>151</v>
      </c>
    </row>
    <row r="128" spans="2:8">
      <c r="B128" s="4" t="s">
        <v>155</v>
      </c>
      <c r="C128" s="11" t="s">
        <v>15</v>
      </c>
      <c r="D128" s="11">
        <v>781250</v>
      </c>
      <c r="E128" s="11">
        <v>955.2</v>
      </c>
      <c r="F128" s="11">
        <v>32943750</v>
      </c>
      <c r="G128" s="12" t="s">
        <v>25</v>
      </c>
      <c r="H128" s="4" t="s">
        <v>151</v>
      </c>
    </row>
    <row r="129" spans="2:8">
      <c r="B129" s="4" t="s">
        <v>156</v>
      </c>
      <c r="C129" s="11" t="s">
        <v>15</v>
      </c>
      <c r="D129" s="11">
        <v>793800</v>
      </c>
      <c r="E129" s="11">
        <v>962.5</v>
      </c>
      <c r="F129" s="11">
        <v>33737550</v>
      </c>
      <c r="G129" s="12" t="s">
        <v>25</v>
      </c>
      <c r="H129" s="4" t="s">
        <v>151</v>
      </c>
    </row>
    <row r="130" spans="2:8">
      <c r="B130" s="4" t="s">
        <v>157</v>
      </c>
      <c r="C130" s="11" t="s">
        <v>15</v>
      </c>
      <c r="D130" s="11">
        <v>806450</v>
      </c>
      <c r="E130" s="11">
        <v>969.8</v>
      </c>
      <c r="F130" s="11">
        <v>34544000</v>
      </c>
      <c r="G130" s="12" t="s">
        <v>25</v>
      </c>
      <c r="H130" s="4" t="s">
        <v>151</v>
      </c>
    </row>
    <row r="131" spans="2:8">
      <c r="B131" s="4" t="s">
        <v>158</v>
      </c>
      <c r="C131" s="11" t="s">
        <v>15</v>
      </c>
      <c r="D131" s="11">
        <v>819200</v>
      </c>
      <c r="E131" s="11">
        <v>977.1</v>
      </c>
      <c r="F131" s="11">
        <v>35363200</v>
      </c>
      <c r="G131" s="12" t="s">
        <v>25</v>
      </c>
      <c r="H131" s="4" t="s">
        <v>151</v>
      </c>
    </row>
    <row r="132" spans="2:8">
      <c r="B132" s="4" t="s">
        <v>159</v>
      </c>
      <c r="C132" s="11" t="s">
        <v>15</v>
      </c>
      <c r="D132" s="11">
        <v>832050</v>
      </c>
      <c r="E132" s="11">
        <v>984.4</v>
      </c>
      <c r="F132" s="11">
        <v>36195250</v>
      </c>
      <c r="G132" s="12" t="s">
        <v>25</v>
      </c>
      <c r="H132" s="4" t="s">
        <v>151</v>
      </c>
    </row>
    <row r="133" spans="2:8">
      <c r="B133" s="4" t="s">
        <v>160</v>
      </c>
      <c r="C133" s="11" t="s">
        <v>15</v>
      </c>
      <c r="D133" s="11">
        <v>845000</v>
      </c>
      <c r="E133" s="11">
        <v>991.7</v>
      </c>
      <c r="F133" s="11">
        <v>37040250</v>
      </c>
      <c r="G133" s="12" t="s">
        <v>25</v>
      </c>
      <c r="H133" s="4" t="s">
        <v>151</v>
      </c>
    </row>
    <row r="134" spans="2:8">
      <c r="B134" s="4" t="s">
        <v>161</v>
      </c>
      <c r="C134" s="11" t="s">
        <v>162</v>
      </c>
      <c r="D134" s="11">
        <v>858050</v>
      </c>
      <c r="E134" s="11">
        <v>999</v>
      </c>
      <c r="F134" s="11">
        <v>37898300</v>
      </c>
      <c r="G134" s="12" t="s">
        <v>25</v>
      </c>
      <c r="H134" s="4" t="s">
        <v>151</v>
      </c>
    </row>
    <row r="135" spans="2:8">
      <c r="B135" s="4" t="s">
        <v>163</v>
      </c>
      <c r="C135" s="11" t="s">
        <v>15</v>
      </c>
      <c r="D135" s="11">
        <v>871200</v>
      </c>
      <c r="E135" s="11">
        <v>1006.3</v>
      </c>
      <c r="F135" s="11">
        <v>38769500</v>
      </c>
      <c r="G135" s="12" t="s">
        <v>25</v>
      </c>
      <c r="H135" s="4" t="s">
        <v>151</v>
      </c>
    </row>
    <row r="136" spans="2:8">
      <c r="B136" s="4" t="s">
        <v>164</v>
      </c>
      <c r="C136" s="11" t="s">
        <v>15</v>
      </c>
      <c r="D136" s="11">
        <v>884450</v>
      </c>
      <c r="E136" s="11">
        <v>1013.6</v>
      </c>
      <c r="F136" s="11">
        <v>39653950</v>
      </c>
      <c r="G136" s="12" t="s">
        <v>25</v>
      </c>
      <c r="H136" s="4" t="s">
        <v>151</v>
      </c>
    </row>
    <row r="137" spans="2:8">
      <c r="B137" s="4" t="s">
        <v>165</v>
      </c>
      <c r="C137" s="11" t="s">
        <v>15</v>
      </c>
      <c r="D137" s="11">
        <v>897800</v>
      </c>
      <c r="E137" s="11">
        <v>1020.9</v>
      </c>
      <c r="F137" s="11">
        <v>40551750</v>
      </c>
      <c r="G137" s="12" t="s">
        <v>25</v>
      </c>
      <c r="H137" s="4" t="s">
        <v>151</v>
      </c>
    </row>
    <row r="138" spans="2:8">
      <c r="B138" s="4" t="s">
        <v>166</v>
      </c>
      <c r="C138" s="11" t="s">
        <v>15</v>
      </c>
      <c r="D138" s="11">
        <v>911250</v>
      </c>
      <c r="E138" s="11">
        <v>1028.2</v>
      </c>
      <c r="F138" s="11">
        <v>41463000</v>
      </c>
      <c r="G138" s="12" t="s">
        <v>25</v>
      </c>
      <c r="H138" s="4" t="s">
        <v>151</v>
      </c>
    </row>
    <row r="139" spans="2:8">
      <c r="B139" s="4" t="s">
        <v>167</v>
      </c>
      <c r="C139" s="11" t="s">
        <v>15</v>
      </c>
      <c r="D139" s="11">
        <v>924800</v>
      </c>
      <c r="E139" s="11">
        <v>1035.5</v>
      </c>
      <c r="F139" s="11">
        <v>42387800</v>
      </c>
      <c r="G139" s="12" t="s">
        <v>25</v>
      </c>
      <c r="H139" s="4" t="s">
        <v>151</v>
      </c>
    </row>
    <row r="140" spans="2:8">
      <c r="B140" s="4" t="s">
        <v>168</v>
      </c>
      <c r="C140" s="11" t="s">
        <v>15</v>
      </c>
      <c r="D140" s="11">
        <v>938450</v>
      </c>
      <c r="E140" s="11">
        <v>1042.8</v>
      </c>
      <c r="F140" s="11">
        <v>43326250</v>
      </c>
      <c r="G140" s="12" t="s">
        <v>25</v>
      </c>
      <c r="H140" s="4" t="s">
        <v>151</v>
      </c>
    </row>
    <row r="141" spans="2:8">
      <c r="B141" s="4" t="s">
        <v>169</v>
      </c>
      <c r="C141" s="11" t="s">
        <v>15</v>
      </c>
      <c r="D141" s="11">
        <v>952200</v>
      </c>
      <c r="E141" s="11">
        <v>1050.1</v>
      </c>
      <c r="F141" s="11">
        <v>44278450</v>
      </c>
      <c r="G141" s="12" t="s">
        <v>25</v>
      </c>
      <c r="H141" s="4" t="s">
        <v>151</v>
      </c>
    </row>
    <row r="142" spans="2:8">
      <c r="B142" s="4" t="s">
        <v>170</v>
      </c>
      <c r="C142" s="11" t="s">
        <v>15</v>
      </c>
      <c r="D142" s="11">
        <v>966050</v>
      </c>
      <c r="E142" s="11">
        <v>1057.4</v>
      </c>
      <c r="F142" s="11">
        <v>45244500</v>
      </c>
      <c r="G142" s="12" t="s">
        <v>25</v>
      </c>
      <c r="H142" s="4" t="s">
        <v>151</v>
      </c>
    </row>
    <row r="143" spans="2:8">
      <c r="B143" s="4" t="s">
        <v>171</v>
      </c>
      <c r="C143" s="11" t="s">
        <v>15</v>
      </c>
      <c r="D143" s="11">
        <v>980000</v>
      </c>
      <c r="E143" s="11">
        <v>1064.7</v>
      </c>
      <c r="F143" s="11">
        <v>46224500</v>
      </c>
      <c r="G143" s="12" t="s">
        <v>25</v>
      </c>
      <c r="H143" s="4" t="s">
        <v>151</v>
      </c>
    </row>
    <row r="144" spans="2:8">
      <c r="B144" s="4" t="s">
        <v>172</v>
      </c>
      <c r="C144" s="11" t="s">
        <v>66</v>
      </c>
      <c r="D144" s="11">
        <v>994050</v>
      </c>
      <c r="E144" s="11">
        <v>1072</v>
      </c>
      <c r="F144" s="11">
        <v>47218550</v>
      </c>
      <c r="G144" s="12" t="s">
        <v>25</v>
      </c>
      <c r="H144" s="4" t="s">
        <v>151</v>
      </c>
    </row>
    <row r="145" spans="2:8">
      <c r="B145" s="4" t="s">
        <v>173</v>
      </c>
      <c r="C145" s="11" t="s">
        <v>15</v>
      </c>
      <c r="D145" s="11">
        <v>1008200</v>
      </c>
      <c r="E145" s="11">
        <v>1079.3</v>
      </c>
      <c r="F145" s="11">
        <v>48226750</v>
      </c>
      <c r="G145" s="12" t="s">
        <v>25</v>
      </c>
      <c r="H145" s="4" t="s">
        <v>151</v>
      </c>
    </row>
    <row r="146" spans="2:8">
      <c r="B146" s="4" t="s">
        <v>174</v>
      </c>
      <c r="C146" s="11" t="s">
        <v>15</v>
      </c>
      <c r="D146" s="11">
        <v>1022450</v>
      </c>
      <c r="E146" s="11">
        <v>1086.6</v>
      </c>
      <c r="F146" s="11">
        <v>49249200</v>
      </c>
      <c r="G146" s="12" t="s">
        <v>25</v>
      </c>
      <c r="H146" s="4" t="s">
        <v>151</v>
      </c>
    </row>
    <row r="147" spans="2:8">
      <c r="B147" s="4" t="s">
        <v>175</v>
      </c>
      <c r="C147" s="11" t="s">
        <v>15</v>
      </c>
      <c r="D147" s="11">
        <v>1036800</v>
      </c>
      <c r="E147" s="11">
        <v>1093.9</v>
      </c>
      <c r="F147" s="11">
        <v>50286000</v>
      </c>
      <c r="G147" s="12" t="s">
        <v>25</v>
      </c>
      <c r="H147" s="4" t="s">
        <v>151</v>
      </c>
    </row>
    <row r="148" spans="2:8">
      <c r="B148" s="4" t="s">
        <v>176</v>
      </c>
      <c r="C148" s="11" t="s">
        <v>15</v>
      </c>
      <c r="D148" s="11">
        <v>1051250</v>
      </c>
      <c r="E148" s="11">
        <v>1101.2</v>
      </c>
      <c r="F148" s="11">
        <v>51337250</v>
      </c>
      <c r="G148" s="12" t="s">
        <v>25</v>
      </c>
      <c r="H148" s="4" t="s">
        <v>151</v>
      </c>
    </row>
    <row r="149" spans="2:8">
      <c r="B149" s="4" t="s">
        <v>177</v>
      </c>
      <c r="C149" s="11" t="s">
        <v>15</v>
      </c>
      <c r="D149" s="11">
        <v>1065800</v>
      </c>
      <c r="E149" s="11">
        <v>1108.5</v>
      </c>
      <c r="F149" s="11">
        <v>52403050</v>
      </c>
      <c r="G149" s="12" t="s">
        <v>25</v>
      </c>
      <c r="H149" s="4" t="s">
        <v>151</v>
      </c>
    </row>
    <row r="150" spans="2:8">
      <c r="B150" s="4" t="s">
        <v>178</v>
      </c>
      <c r="C150" s="11" t="s">
        <v>15</v>
      </c>
      <c r="D150" s="11">
        <v>1080450</v>
      </c>
      <c r="E150" s="11">
        <v>1115.8</v>
      </c>
      <c r="F150" s="11">
        <v>53483500</v>
      </c>
      <c r="G150" s="12" t="s">
        <v>25</v>
      </c>
      <c r="H150" s="4" t="s">
        <v>151</v>
      </c>
    </row>
    <row r="151" spans="2:8">
      <c r="B151" s="4" t="s">
        <v>179</v>
      </c>
      <c r="C151" s="11" t="s">
        <v>15</v>
      </c>
      <c r="D151" s="11">
        <v>1095200</v>
      </c>
      <c r="E151" s="11">
        <v>1123.1</v>
      </c>
      <c r="F151" s="11">
        <v>54578700</v>
      </c>
      <c r="G151" s="12" t="s">
        <v>25</v>
      </c>
      <c r="H151" s="4" t="s">
        <v>151</v>
      </c>
    </row>
    <row r="152" spans="2:8">
      <c r="B152" s="4" t="s">
        <v>180</v>
      </c>
      <c r="C152" s="11" t="s">
        <v>15</v>
      </c>
      <c r="D152" s="11">
        <v>1110050</v>
      </c>
      <c r="E152" s="11">
        <v>1130.4</v>
      </c>
      <c r="F152" s="11">
        <v>55688750</v>
      </c>
      <c r="G152" s="12" t="s">
        <v>25</v>
      </c>
      <c r="H152" s="4" t="s">
        <v>151</v>
      </c>
    </row>
    <row r="153" spans="2:8">
      <c r="B153" s="4" t="s">
        <v>181</v>
      </c>
      <c r="C153" s="11" t="s">
        <v>66</v>
      </c>
      <c r="D153" s="11">
        <v>1125000</v>
      </c>
      <c r="E153" s="11">
        <v>1137.7</v>
      </c>
      <c r="F153" s="11">
        <v>56813750</v>
      </c>
      <c r="G153" s="12" t="s">
        <v>25</v>
      </c>
      <c r="H153" s="4" t="s">
        <v>151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AE152"/>
  <sheetViews>
    <sheetView workbookViewId="0">
      <selection activeCell="I4" sqref="I4:N7"/>
    </sheetView>
  </sheetViews>
  <sheetFormatPr defaultColWidth="9" defaultRowHeight="13.5"/>
  <cols>
    <col min="1" max="3" width="9" customWidth="1"/>
    <col min="4" max="4" width="10.125" customWidth="1"/>
    <col min="5" max="9" width="9" customWidth="1"/>
    <col min="10" max="10" width="10.125" customWidth="1"/>
    <col min="11" max="15" width="9" customWidth="1"/>
    <col min="16" max="16" width="12" customWidth="1"/>
    <col min="17" max="22" width="9" customWidth="1"/>
    <col min="23" max="23" width="52.125" customWidth="1"/>
    <col min="24" max="29" width="9" customWidth="1"/>
    <col min="30" max="30" width="20.375" customWidth="1"/>
    <col min="31" max="31" width="9.5" customWidth="1"/>
    <col min="32" max="16384" width="9" customWidth="1"/>
  </cols>
  <sheetData>
    <row r="1" spans="6:31"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P1" s="1" t="s">
        <v>189</v>
      </c>
      <c r="W1" s="1" t="s">
        <v>190</v>
      </c>
      <c r="Z1" s="1" t="s">
        <v>191</v>
      </c>
      <c r="AD1" s="1" t="s">
        <v>192</v>
      </c>
    </row>
    <row r="2" spans="6:31">
      <c r="I2" s="1">
        <v>10001</v>
      </c>
      <c r="J2" s="1">
        <v>10002</v>
      </c>
      <c r="K2" s="1">
        <v>10003</v>
      </c>
      <c r="L2" s="1">
        <v>10004</v>
      </c>
      <c r="M2" s="1">
        <v>10005</v>
      </c>
      <c r="N2" s="1">
        <v>10006</v>
      </c>
      <c r="Y2" s="2" t="s">
        <v>193</v>
      </c>
      <c r="Z2" s="2" t="s">
        <v>194</v>
      </c>
      <c r="AA2" s="2"/>
      <c r="AB2" s="2" t="s">
        <v>195</v>
      </c>
      <c r="AC2" s="2" t="s">
        <v>196</v>
      </c>
    </row>
    <row r="3" ht="17.25" customHeight="1" spans="6:31">
      <c r="F3" s="3" t="s">
        <v>197</v>
      </c>
      <c r="G3" s="3" t="s">
        <v>198</v>
      </c>
      <c r="H3" s="4" t="s">
        <v>11</v>
      </c>
      <c r="I3" s="4" t="s">
        <v>24</v>
      </c>
      <c r="J3" s="1"/>
      <c r="P3" s="5" t="str">
        <f t="shared" ref="P3:P66" si="0">$I$2&amp;"|"&amp;I3</f>
        <v>10001|6</v>
      </c>
      <c r="Q3" s="5" t="str">
        <f t="shared" ref="Q3:Q66" si="1">$J$2&amp;"|"&amp;J3</f>
        <v>10002|</v>
      </c>
      <c r="R3" s="5" t="str">
        <f t="shared" ref="R3:R66" si="2">$K$2&amp;"|"&amp;K3</f>
        <v>10003|</v>
      </c>
      <c r="S3" s="5" t="str">
        <f t="shared" ref="S3:S66" si="3">$L$2&amp;"|"&amp;L3</f>
        <v>10004|</v>
      </c>
      <c r="T3" s="5" t="str">
        <f t="shared" ref="T3:T66" si="4">$M$2&amp;"|"&amp;M3</f>
        <v>10005|</v>
      </c>
      <c r="U3" s="5" t="str">
        <f t="shared" ref="U3:U66" si="5">$N$2&amp;"|"&amp;N3</f>
        <v>10006|</v>
      </c>
      <c r="W3" t="str">
        <f t="shared" ref="W3:W66" si="6">P3&amp;"$"&amp;Q3&amp;"$"&amp;R3&amp;"$"&amp;S3&amp;"$"&amp;T3&amp;"$"&amp;U3</f>
        <v>10001|6$10002|$10003|$10004|$10005|$10006|</v>
      </c>
      <c r="Y3" s="6">
        <v>50</v>
      </c>
      <c r="Z3" s="7">
        <v>2</v>
      </c>
      <c r="AA3" s="8"/>
      <c r="AB3" s="8">
        <v>1</v>
      </c>
      <c r="AC3" s="9">
        <f t="shared" ref="AC3:AC66" si="7">$Y$3*POWER(AB3,$Z$3)</f>
        <v>50</v>
      </c>
      <c r="AD3">
        <v>50</v>
      </c>
    </row>
    <row r="4" ht="17.25" customHeight="1" spans="6:31">
      <c r="H4" s="1">
        <v>2</v>
      </c>
      <c r="I4">
        <v>100</v>
      </c>
      <c r="K4">
        <v>5</v>
      </c>
      <c r="L4">
        <v>12</v>
      </c>
      <c r="P4" s="5" t="str">
        <f t="shared" si="0"/>
        <v>10001|100</v>
      </c>
      <c r="Q4" s="5" t="str">
        <f t="shared" si="1"/>
        <v>10002|</v>
      </c>
      <c r="R4" s="5" t="str">
        <f t="shared" si="2"/>
        <v>10003|5</v>
      </c>
      <c r="S4" s="5" t="str">
        <f t="shared" si="3"/>
        <v>10004|12</v>
      </c>
      <c r="T4" s="5" t="str">
        <f t="shared" si="4"/>
        <v>10005|</v>
      </c>
      <c r="U4" s="5" t="str">
        <f t="shared" si="5"/>
        <v>10006|</v>
      </c>
      <c r="W4" t="str">
        <f t="shared" si="6"/>
        <v>10001|100$10002|$10003|5$10004|12$10005|$10006|</v>
      </c>
      <c r="AB4" s="8">
        <v>2</v>
      </c>
      <c r="AC4" s="9">
        <f t="shared" si="7"/>
        <v>200</v>
      </c>
      <c r="AD4" s="10">
        <f t="shared" ref="AD4:AD67" si="8">AD3+AC4</f>
        <v>250</v>
      </c>
      <c r="AE4" s="10">
        <f t="shared" ref="AE4:AE67" si="9">AD4-AD3</f>
        <v>200</v>
      </c>
    </row>
    <row r="5" ht="17.25" customHeight="1" spans="6:31">
      <c r="H5" s="1">
        <v>3</v>
      </c>
      <c r="I5">
        <v>100</v>
      </c>
      <c r="K5">
        <v>5</v>
      </c>
      <c r="L5">
        <v>12</v>
      </c>
      <c r="P5" s="5" t="str">
        <f t="shared" si="0"/>
        <v>10001|100</v>
      </c>
      <c r="Q5" s="5" t="str">
        <f t="shared" si="1"/>
        <v>10002|</v>
      </c>
      <c r="R5" s="5" t="str">
        <f t="shared" si="2"/>
        <v>10003|5</v>
      </c>
      <c r="S5" s="5" t="str">
        <f t="shared" si="3"/>
        <v>10004|12</v>
      </c>
      <c r="T5" s="5" t="str">
        <f t="shared" si="4"/>
        <v>10005|</v>
      </c>
      <c r="U5" s="5" t="str">
        <f t="shared" si="5"/>
        <v>10006|</v>
      </c>
      <c r="W5" t="str">
        <f t="shared" si="6"/>
        <v>10001|100$10002|$10003|5$10004|12$10005|$10006|</v>
      </c>
      <c r="AB5" s="8">
        <v>3</v>
      </c>
      <c r="AC5" s="9">
        <f t="shared" si="7"/>
        <v>450</v>
      </c>
      <c r="AD5" s="10">
        <f t="shared" si="8"/>
        <v>700</v>
      </c>
      <c r="AE5" s="10">
        <f t="shared" si="9"/>
        <v>450</v>
      </c>
    </row>
    <row r="6" ht="17.25" customHeight="1" spans="6:31">
      <c r="H6" s="1">
        <v>4</v>
      </c>
      <c r="I6" s="1">
        <v>100</v>
      </c>
      <c r="J6" s="1"/>
      <c r="K6">
        <v>5</v>
      </c>
      <c r="L6">
        <v>12</v>
      </c>
      <c r="P6" s="5" t="str">
        <f t="shared" si="0"/>
        <v>10001|100</v>
      </c>
      <c r="Q6" s="5" t="str">
        <f t="shared" si="1"/>
        <v>10002|</v>
      </c>
      <c r="R6" s="5" t="str">
        <f t="shared" si="2"/>
        <v>10003|5</v>
      </c>
      <c r="S6" s="5" t="str">
        <f t="shared" si="3"/>
        <v>10004|12</v>
      </c>
      <c r="T6" s="5" t="str">
        <f t="shared" si="4"/>
        <v>10005|</v>
      </c>
      <c r="U6" s="5" t="str">
        <f t="shared" si="5"/>
        <v>10006|</v>
      </c>
      <c r="W6" t="str">
        <f t="shared" si="6"/>
        <v>10001|100$10002|$10003|5$10004|12$10005|$10006|</v>
      </c>
      <c r="AB6" s="8">
        <v>4</v>
      </c>
      <c r="AC6" s="9">
        <f t="shared" si="7"/>
        <v>800</v>
      </c>
      <c r="AD6" s="10">
        <f t="shared" si="8"/>
        <v>1500</v>
      </c>
      <c r="AE6" s="10">
        <f t="shared" si="9"/>
        <v>800</v>
      </c>
    </row>
    <row r="7" ht="17.25" customHeight="1" spans="6:31">
      <c r="H7" s="1">
        <v>5</v>
      </c>
      <c r="I7" s="1">
        <v>100</v>
      </c>
      <c r="K7">
        <v>5</v>
      </c>
      <c r="L7">
        <v>12</v>
      </c>
      <c r="P7" s="5" t="str">
        <f t="shared" si="0"/>
        <v>10001|100</v>
      </c>
      <c r="Q7" s="5" t="str">
        <f t="shared" si="1"/>
        <v>10002|</v>
      </c>
      <c r="R7" s="5" t="str">
        <f t="shared" si="2"/>
        <v>10003|5</v>
      </c>
      <c r="S7" s="5" t="str">
        <f t="shared" si="3"/>
        <v>10004|12</v>
      </c>
      <c r="T7" s="5" t="str">
        <f t="shared" si="4"/>
        <v>10005|</v>
      </c>
      <c r="U7" s="5" t="str">
        <f t="shared" si="5"/>
        <v>10006|</v>
      </c>
      <c r="W7" t="str">
        <f t="shared" si="6"/>
        <v>10001|100$10002|$10003|5$10004|12$10005|$10006|</v>
      </c>
      <c r="AB7" s="8">
        <v>5</v>
      </c>
      <c r="AC7" s="9">
        <f t="shared" si="7"/>
        <v>1250</v>
      </c>
      <c r="AD7" s="10">
        <f t="shared" si="8"/>
        <v>2750</v>
      </c>
      <c r="AE7" s="10">
        <f t="shared" si="9"/>
        <v>1250</v>
      </c>
    </row>
    <row r="8" ht="17.25" customHeight="1" spans="6:31">
      <c r="H8" s="1">
        <v>6</v>
      </c>
      <c r="I8" s="1">
        <v>100</v>
      </c>
      <c r="K8">
        <v>5</v>
      </c>
      <c r="L8">
        <v>12</v>
      </c>
      <c r="P8" s="5" t="str">
        <f t="shared" si="0"/>
        <v>10001|100</v>
      </c>
      <c r="Q8" s="5" t="str">
        <f t="shared" si="1"/>
        <v>10002|</v>
      </c>
      <c r="R8" s="5" t="str">
        <f t="shared" si="2"/>
        <v>10003|5</v>
      </c>
      <c r="S8" s="5" t="str">
        <f t="shared" si="3"/>
        <v>10004|12</v>
      </c>
      <c r="T8" s="5" t="str">
        <f t="shared" si="4"/>
        <v>10005|</v>
      </c>
      <c r="U8" s="5" t="str">
        <f t="shared" si="5"/>
        <v>10006|</v>
      </c>
      <c r="W8" t="str">
        <f t="shared" si="6"/>
        <v>10001|100$10002|$10003|5$10004|12$10005|$10006|</v>
      </c>
      <c r="AB8" s="8">
        <v>6</v>
      </c>
      <c r="AC8" s="9">
        <f t="shared" si="7"/>
        <v>1800</v>
      </c>
      <c r="AD8" s="10">
        <f t="shared" si="8"/>
        <v>4550</v>
      </c>
      <c r="AE8" s="10">
        <f t="shared" si="9"/>
        <v>1800</v>
      </c>
    </row>
    <row r="9" ht="17.25" customHeight="1" spans="6:31">
      <c r="H9" s="1">
        <v>7</v>
      </c>
      <c r="I9" s="1">
        <v>100</v>
      </c>
      <c r="J9" s="1"/>
      <c r="K9">
        <v>5</v>
      </c>
      <c r="L9">
        <v>12</v>
      </c>
      <c r="P9" s="5" t="str">
        <f t="shared" si="0"/>
        <v>10001|100</v>
      </c>
      <c r="Q9" s="5" t="str">
        <f t="shared" si="1"/>
        <v>10002|</v>
      </c>
      <c r="R9" s="5" t="str">
        <f t="shared" si="2"/>
        <v>10003|5</v>
      </c>
      <c r="S9" s="5" t="str">
        <f t="shared" si="3"/>
        <v>10004|12</v>
      </c>
      <c r="T9" s="5" t="str">
        <f t="shared" si="4"/>
        <v>10005|</v>
      </c>
      <c r="U9" s="5" t="str">
        <f t="shared" si="5"/>
        <v>10006|</v>
      </c>
      <c r="W9" t="str">
        <f t="shared" si="6"/>
        <v>10001|100$10002|$10003|5$10004|12$10005|$10006|</v>
      </c>
      <c r="AB9" s="8">
        <v>7</v>
      </c>
      <c r="AC9" s="9">
        <f t="shared" si="7"/>
        <v>2450</v>
      </c>
      <c r="AD9" s="10">
        <f t="shared" si="8"/>
        <v>7000</v>
      </c>
      <c r="AE9" s="10">
        <f t="shared" si="9"/>
        <v>2450</v>
      </c>
    </row>
    <row r="10" ht="17.25" customHeight="1" spans="6:31">
      <c r="H10" s="1">
        <v>8</v>
      </c>
      <c r="I10" s="1">
        <v>100</v>
      </c>
      <c r="K10">
        <v>5</v>
      </c>
      <c r="L10">
        <v>12</v>
      </c>
      <c r="P10" s="5" t="str">
        <f t="shared" si="0"/>
        <v>10001|100</v>
      </c>
      <c r="Q10" s="5" t="str">
        <f t="shared" si="1"/>
        <v>10002|</v>
      </c>
      <c r="R10" s="5" t="str">
        <f t="shared" si="2"/>
        <v>10003|5</v>
      </c>
      <c r="S10" s="5" t="str">
        <f t="shared" si="3"/>
        <v>10004|12</v>
      </c>
      <c r="T10" s="5" t="str">
        <f t="shared" si="4"/>
        <v>10005|</v>
      </c>
      <c r="U10" s="5" t="str">
        <f t="shared" si="5"/>
        <v>10006|</v>
      </c>
      <c r="W10" t="str">
        <f t="shared" si="6"/>
        <v>10001|100$10002|$10003|5$10004|12$10005|$10006|</v>
      </c>
      <c r="AB10" s="8">
        <v>8</v>
      </c>
      <c r="AC10" s="9">
        <f t="shared" si="7"/>
        <v>3200</v>
      </c>
      <c r="AD10" s="10">
        <f t="shared" si="8"/>
        <v>10200</v>
      </c>
      <c r="AE10" s="10">
        <f t="shared" si="9"/>
        <v>3200</v>
      </c>
    </row>
    <row r="11" ht="17.25" customHeight="1" spans="6:31">
      <c r="H11" s="1">
        <v>9</v>
      </c>
      <c r="I11" s="1">
        <v>100</v>
      </c>
      <c r="K11">
        <v>5</v>
      </c>
      <c r="L11">
        <v>12</v>
      </c>
      <c r="P11" s="5" t="str">
        <f t="shared" si="0"/>
        <v>10001|100</v>
      </c>
      <c r="Q11" s="5" t="str">
        <f t="shared" si="1"/>
        <v>10002|</v>
      </c>
      <c r="R11" s="5" t="str">
        <f t="shared" si="2"/>
        <v>10003|5</v>
      </c>
      <c r="S11" s="5" t="str">
        <f t="shared" si="3"/>
        <v>10004|12</v>
      </c>
      <c r="T11" s="5" t="str">
        <f t="shared" si="4"/>
        <v>10005|</v>
      </c>
      <c r="U11" s="5" t="str">
        <f t="shared" si="5"/>
        <v>10006|</v>
      </c>
      <c r="W11" t="str">
        <f t="shared" si="6"/>
        <v>10001|100$10002|$10003|5$10004|12$10005|$10006|</v>
      </c>
      <c r="AB11" s="8">
        <v>9</v>
      </c>
      <c r="AC11" s="9">
        <f t="shared" si="7"/>
        <v>4050</v>
      </c>
      <c r="AD11" s="10">
        <f t="shared" si="8"/>
        <v>14250</v>
      </c>
      <c r="AE11" s="10">
        <f t="shared" si="9"/>
        <v>4050</v>
      </c>
    </row>
    <row r="12" ht="17.25" customHeight="1" spans="6:31">
      <c r="H12" s="1">
        <v>10</v>
      </c>
      <c r="I12">
        <v>100</v>
      </c>
      <c r="K12">
        <v>5</v>
      </c>
      <c r="L12">
        <v>12</v>
      </c>
      <c r="P12" s="5" t="str">
        <f t="shared" si="0"/>
        <v>10001|100</v>
      </c>
      <c r="Q12" s="5" t="str">
        <f t="shared" si="1"/>
        <v>10002|</v>
      </c>
      <c r="R12" s="5" t="str">
        <f t="shared" si="2"/>
        <v>10003|5</v>
      </c>
      <c r="S12" s="5" t="str">
        <f t="shared" si="3"/>
        <v>10004|12</v>
      </c>
      <c r="T12" s="5" t="str">
        <f t="shared" si="4"/>
        <v>10005|</v>
      </c>
      <c r="U12" s="5" t="str">
        <f t="shared" si="5"/>
        <v>10006|</v>
      </c>
      <c r="W12" t="str">
        <f t="shared" si="6"/>
        <v>10001|100$10002|$10003|5$10004|12$10005|$10006|</v>
      </c>
      <c r="AB12" s="8">
        <v>10</v>
      </c>
      <c r="AC12" s="9">
        <f t="shared" si="7"/>
        <v>5000</v>
      </c>
      <c r="AD12" s="10">
        <f t="shared" si="8"/>
        <v>19250</v>
      </c>
      <c r="AE12" s="10">
        <f t="shared" si="9"/>
        <v>5000</v>
      </c>
    </row>
    <row r="13" ht="17.25" customHeight="1" spans="6:31">
      <c r="G13" s="3" t="s">
        <v>199</v>
      </c>
      <c r="H13" s="1">
        <v>11</v>
      </c>
      <c r="I13">
        <v>100</v>
      </c>
      <c r="J13">
        <v>2</v>
      </c>
      <c r="K13">
        <v>5</v>
      </c>
      <c r="L13">
        <v>12</v>
      </c>
      <c r="M13">
        <v>1</v>
      </c>
      <c r="N13">
        <v>2</v>
      </c>
      <c r="P13" s="5" t="str">
        <f t="shared" si="0"/>
        <v>10001|100</v>
      </c>
      <c r="Q13" s="5" t="str">
        <f t="shared" si="1"/>
        <v>10002|2</v>
      </c>
      <c r="R13" s="5" t="str">
        <f t="shared" si="2"/>
        <v>10003|5</v>
      </c>
      <c r="S13" s="5" t="str">
        <f t="shared" si="3"/>
        <v>10004|12</v>
      </c>
      <c r="T13" s="5" t="str">
        <f t="shared" si="4"/>
        <v>10005|1</v>
      </c>
      <c r="U13" s="5" t="str">
        <f t="shared" si="5"/>
        <v>10006|2</v>
      </c>
      <c r="W13" t="str">
        <f t="shared" si="6"/>
        <v>10001|100$10002|2$10003|5$10004|12$10005|1$10006|2</v>
      </c>
      <c r="AB13" s="8">
        <v>11</v>
      </c>
      <c r="AC13" s="9">
        <f t="shared" si="7"/>
        <v>6050</v>
      </c>
      <c r="AD13" s="10">
        <f t="shared" si="8"/>
        <v>25300</v>
      </c>
      <c r="AE13" s="10">
        <f t="shared" si="9"/>
        <v>6050</v>
      </c>
    </row>
    <row r="14" ht="17.25" customHeight="1" spans="6:31">
      <c r="H14" s="1">
        <v>12</v>
      </c>
      <c r="I14">
        <v>100</v>
      </c>
      <c r="K14">
        <v>5</v>
      </c>
      <c r="L14">
        <v>12</v>
      </c>
      <c r="P14" s="5" t="str">
        <f t="shared" si="0"/>
        <v>10001|100</v>
      </c>
      <c r="Q14" s="5" t="str">
        <f t="shared" si="1"/>
        <v>10002|</v>
      </c>
      <c r="R14" s="5" t="str">
        <f t="shared" si="2"/>
        <v>10003|5</v>
      </c>
      <c r="S14" s="5" t="str">
        <f t="shared" si="3"/>
        <v>10004|12</v>
      </c>
      <c r="T14" s="5" t="str">
        <f t="shared" si="4"/>
        <v>10005|</v>
      </c>
      <c r="U14" s="5" t="str">
        <f t="shared" si="5"/>
        <v>10006|</v>
      </c>
      <c r="W14" t="str">
        <f t="shared" si="6"/>
        <v>10001|100$10002|$10003|5$10004|12$10005|$10006|</v>
      </c>
      <c r="AB14" s="8">
        <v>12</v>
      </c>
      <c r="AC14" s="9">
        <f t="shared" si="7"/>
        <v>7200</v>
      </c>
      <c r="AD14" s="10">
        <f t="shared" si="8"/>
        <v>32500</v>
      </c>
      <c r="AE14" s="10">
        <f t="shared" si="9"/>
        <v>7200</v>
      </c>
    </row>
    <row r="15" ht="17.25" customHeight="1" spans="6:31">
      <c r="H15" s="1">
        <v>13</v>
      </c>
      <c r="I15">
        <v>100</v>
      </c>
      <c r="K15">
        <v>5</v>
      </c>
      <c r="L15">
        <v>12</v>
      </c>
      <c r="P15" s="5" t="str">
        <f t="shared" si="0"/>
        <v>10001|100</v>
      </c>
      <c r="Q15" s="5" t="str">
        <f t="shared" si="1"/>
        <v>10002|</v>
      </c>
      <c r="R15" s="5" t="str">
        <f t="shared" si="2"/>
        <v>10003|5</v>
      </c>
      <c r="S15" s="5" t="str">
        <f t="shared" si="3"/>
        <v>10004|12</v>
      </c>
      <c r="T15" s="5" t="str">
        <f t="shared" si="4"/>
        <v>10005|</v>
      </c>
      <c r="U15" s="5" t="str">
        <f t="shared" si="5"/>
        <v>10006|</v>
      </c>
      <c r="W15" t="str">
        <f t="shared" si="6"/>
        <v>10001|100$10002|$10003|5$10004|12$10005|$10006|</v>
      </c>
      <c r="AB15" s="8">
        <v>13</v>
      </c>
      <c r="AC15" s="9">
        <f t="shared" si="7"/>
        <v>8450</v>
      </c>
      <c r="AD15" s="10">
        <f t="shared" si="8"/>
        <v>40950</v>
      </c>
      <c r="AE15" s="10">
        <f t="shared" si="9"/>
        <v>8450</v>
      </c>
    </row>
    <row r="16" ht="17.25" customHeight="1" spans="6:31">
      <c r="H16" s="1">
        <v>14</v>
      </c>
      <c r="I16">
        <v>100</v>
      </c>
      <c r="K16">
        <v>5</v>
      </c>
      <c r="L16">
        <v>12</v>
      </c>
      <c r="P16" s="5" t="str">
        <f t="shared" si="0"/>
        <v>10001|100</v>
      </c>
      <c r="Q16" s="5" t="str">
        <f t="shared" si="1"/>
        <v>10002|</v>
      </c>
      <c r="R16" s="5" t="str">
        <f t="shared" si="2"/>
        <v>10003|5</v>
      </c>
      <c r="S16" s="5" t="str">
        <f t="shared" si="3"/>
        <v>10004|12</v>
      </c>
      <c r="T16" s="5" t="str">
        <f t="shared" si="4"/>
        <v>10005|</v>
      </c>
      <c r="U16" s="5" t="str">
        <f t="shared" si="5"/>
        <v>10006|</v>
      </c>
      <c r="W16" t="str">
        <f t="shared" si="6"/>
        <v>10001|100$10002|$10003|5$10004|12$10005|$10006|</v>
      </c>
      <c r="AB16" s="8">
        <v>14</v>
      </c>
      <c r="AC16" s="9">
        <f t="shared" si="7"/>
        <v>9800</v>
      </c>
      <c r="AD16" s="10">
        <f t="shared" si="8"/>
        <v>50750</v>
      </c>
      <c r="AE16" s="10">
        <f t="shared" si="9"/>
        <v>9800</v>
      </c>
    </row>
    <row r="17" ht="17.25" customHeight="1" spans="7:31">
      <c r="H17" s="1">
        <v>15</v>
      </c>
      <c r="I17">
        <v>100</v>
      </c>
      <c r="K17">
        <v>5</v>
      </c>
      <c r="L17">
        <v>12</v>
      </c>
      <c r="P17" s="5" t="str">
        <f t="shared" si="0"/>
        <v>10001|100</v>
      </c>
      <c r="Q17" s="5" t="str">
        <f t="shared" si="1"/>
        <v>10002|</v>
      </c>
      <c r="R17" s="5" t="str">
        <f t="shared" si="2"/>
        <v>10003|5</v>
      </c>
      <c r="S17" s="5" t="str">
        <f t="shared" si="3"/>
        <v>10004|12</v>
      </c>
      <c r="T17" s="5" t="str">
        <f t="shared" si="4"/>
        <v>10005|</v>
      </c>
      <c r="U17" s="5" t="str">
        <f t="shared" si="5"/>
        <v>10006|</v>
      </c>
      <c r="W17" t="str">
        <f t="shared" si="6"/>
        <v>10001|100$10002|$10003|5$10004|12$10005|$10006|</v>
      </c>
      <c r="AB17" s="8">
        <v>15</v>
      </c>
      <c r="AC17" s="9">
        <f t="shared" si="7"/>
        <v>11250</v>
      </c>
      <c r="AD17" s="10">
        <f t="shared" si="8"/>
        <v>62000</v>
      </c>
      <c r="AE17" s="10">
        <f t="shared" si="9"/>
        <v>11250</v>
      </c>
    </row>
    <row r="18" ht="17.25" customHeight="1" spans="7:31">
      <c r="H18" s="1">
        <v>16</v>
      </c>
      <c r="I18">
        <v>100</v>
      </c>
      <c r="K18">
        <v>5</v>
      </c>
      <c r="L18">
        <v>12</v>
      </c>
      <c r="P18" s="5" t="str">
        <f t="shared" si="0"/>
        <v>10001|100</v>
      </c>
      <c r="Q18" s="5" t="str">
        <f t="shared" si="1"/>
        <v>10002|</v>
      </c>
      <c r="R18" s="5" t="str">
        <f t="shared" si="2"/>
        <v>10003|5</v>
      </c>
      <c r="S18" s="5" t="str">
        <f t="shared" si="3"/>
        <v>10004|12</v>
      </c>
      <c r="T18" s="5" t="str">
        <f t="shared" si="4"/>
        <v>10005|</v>
      </c>
      <c r="U18" s="5" t="str">
        <f t="shared" si="5"/>
        <v>10006|</v>
      </c>
      <c r="W18" t="str">
        <f t="shared" si="6"/>
        <v>10001|100$10002|$10003|5$10004|12$10005|$10006|</v>
      </c>
      <c r="AB18" s="8">
        <v>16</v>
      </c>
      <c r="AC18" s="9">
        <f t="shared" si="7"/>
        <v>12800</v>
      </c>
      <c r="AD18" s="10">
        <f t="shared" si="8"/>
        <v>74800</v>
      </c>
      <c r="AE18" s="10">
        <f t="shared" si="9"/>
        <v>12800</v>
      </c>
    </row>
    <row r="19" ht="17.25" customHeight="1" spans="7:31">
      <c r="H19" s="1">
        <v>17</v>
      </c>
      <c r="I19">
        <v>100</v>
      </c>
      <c r="K19">
        <v>5</v>
      </c>
      <c r="L19">
        <v>12</v>
      </c>
      <c r="P19" s="5" t="str">
        <f t="shared" si="0"/>
        <v>10001|100</v>
      </c>
      <c r="Q19" s="5" t="str">
        <f t="shared" si="1"/>
        <v>10002|</v>
      </c>
      <c r="R19" s="5" t="str">
        <f t="shared" si="2"/>
        <v>10003|5</v>
      </c>
      <c r="S19" s="5" t="str">
        <f t="shared" si="3"/>
        <v>10004|12</v>
      </c>
      <c r="T19" s="5" t="str">
        <f t="shared" si="4"/>
        <v>10005|</v>
      </c>
      <c r="U19" s="5" t="str">
        <f t="shared" si="5"/>
        <v>10006|</v>
      </c>
      <c r="W19" t="str">
        <f t="shared" si="6"/>
        <v>10001|100$10002|$10003|5$10004|12$10005|$10006|</v>
      </c>
      <c r="AB19" s="8">
        <v>17</v>
      </c>
      <c r="AC19" s="9">
        <f t="shared" si="7"/>
        <v>14450</v>
      </c>
      <c r="AD19" s="10">
        <f t="shared" si="8"/>
        <v>89250</v>
      </c>
      <c r="AE19" s="10">
        <f t="shared" si="9"/>
        <v>14450</v>
      </c>
    </row>
    <row r="20" ht="17.25" customHeight="1" spans="7:31">
      <c r="H20" s="1">
        <v>18</v>
      </c>
      <c r="I20">
        <v>100</v>
      </c>
      <c r="K20">
        <v>5</v>
      </c>
      <c r="L20">
        <v>12</v>
      </c>
      <c r="P20" s="5" t="str">
        <f t="shared" si="0"/>
        <v>10001|100</v>
      </c>
      <c r="Q20" s="5" t="str">
        <f t="shared" si="1"/>
        <v>10002|</v>
      </c>
      <c r="R20" s="5" t="str">
        <f t="shared" si="2"/>
        <v>10003|5</v>
      </c>
      <c r="S20" s="5" t="str">
        <f t="shared" si="3"/>
        <v>10004|12</v>
      </c>
      <c r="T20" s="5" t="str">
        <f t="shared" si="4"/>
        <v>10005|</v>
      </c>
      <c r="U20" s="5" t="str">
        <f t="shared" si="5"/>
        <v>10006|</v>
      </c>
      <c r="W20" t="str">
        <f t="shared" si="6"/>
        <v>10001|100$10002|$10003|5$10004|12$10005|$10006|</v>
      </c>
      <c r="AB20" s="8">
        <v>18</v>
      </c>
      <c r="AC20" s="9">
        <f t="shared" si="7"/>
        <v>16200</v>
      </c>
      <c r="AD20" s="10">
        <f t="shared" si="8"/>
        <v>105450</v>
      </c>
      <c r="AE20" s="10">
        <f t="shared" si="9"/>
        <v>16200</v>
      </c>
    </row>
    <row r="21" ht="17.25" customHeight="1" spans="7:31">
      <c r="H21" s="1">
        <v>19</v>
      </c>
      <c r="I21">
        <v>100</v>
      </c>
      <c r="K21">
        <v>5</v>
      </c>
      <c r="L21">
        <v>12</v>
      </c>
      <c r="P21" s="5" t="str">
        <f t="shared" si="0"/>
        <v>10001|100</v>
      </c>
      <c r="Q21" s="5" t="str">
        <f t="shared" si="1"/>
        <v>10002|</v>
      </c>
      <c r="R21" s="5" t="str">
        <f t="shared" si="2"/>
        <v>10003|5</v>
      </c>
      <c r="S21" s="5" t="str">
        <f t="shared" si="3"/>
        <v>10004|12</v>
      </c>
      <c r="T21" s="5" t="str">
        <f t="shared" si="4"/>
        <v>10005|</v>
      </c>
      <c r="U21" s="5" t="str">
        <f t="shared" si="5"/>
        <v>10006|</v>
      </c>
      <c r="W21" t="str">
        <f t="shared" si="6"/>
        <v>10001|100$10002|$10003|5$10004|12$10005|$10006|</v>
      </c>
      <c r="AB21" s="8">
        <v>19</v>
      </c>
      <c r="AC21" s="9">
        <f t="shared" si="7"/>
        <v>18050</v>
      </c>
      <c r="AD21" s="10">
        <f t="shared" si="8"/>
        <v>123500</v>
      </c>
      <c r="AE21" s="10">
        <f t="shared" si="9"/>
        <v>18050</v>
      </c>
    </row>
    <row r="22" ht="17.25" customHeight="1" spans="7:31">
      <c r="H22" s="1">
        <v>20</v>
      </c>
      <c r="I22">
        <v>100</v>
      </c>
      <c r="K22">
        <v>5</v>
      </c>
      <c r="L22">
        <v>12</v>
      </c>
      <c r="P22" s="5" t="str">
        <f t="shared" si="0"/>
        <v>10001|100</v>
      </c>
      <c r="Q22" s="5" t="str">
        <f t="shared" si="1"/>
        <v>10002|</v>
      </c>
      <c r="R22" s="5" t="str">
        <f t="shared" si="2"/>
        <v>10003|5</v>
      </c>
      <c r="S22" s="5" t="str">
        <f t="shared" si="3"/>
        <v>10004|12</v>
      </c>
      <c r="T22" s="5" t="str">
        <f t="shared" si="4"/>
        <v>10005|</v>
      </c>
      <c r="U22" s="5" t="str">
        <f t="shared" si="5"/>
        <v>10006|</v>
      </c>
      <c r="W22" t="str">
        <f t="shared" si="6"/>
        <v>10001|100$10002|$10003|5$10004|12$10005|$10006|</v>
      </c>
      <c r="AB22" s="8">
        <v>20</v>
      </c>
      <c r="AC22" s="9">
        <f t="shared" si="7"/>
        <v>20000</v>
      </c>
      <c r="AD22" s="10">
        <f t="shared" si="8"/>
        <v>143500</v>
      </c>
      <c r="AE22" s="10">
        <f t="shared" si="9"/>
        <v>20000</v>
      </c>
    </row>
    <row r="23" ht="17.25" customHeight="1" spans="7:31">
      <c r="G23" s="3" t="s">
        <v>200</v>
      </c>
      <c r="H23" s="1">
        <v>21</v>
      </c>
      <c r="I23">
        <v>100</v>
      </c>
      <c r="J23">
        <v>1</v>
      </c>
      <c r="K23">
        <v>5</v>
      </c>
      <c r="L23">
        <v>12</v>
      </c>
      <c r="M23">
        <v>2</v>
      </c>
      <c r="N23">
        <v>4</v>
      </c>
      <c r="P23" s="5" t="str">
        <f t="shared" si="0"/>
        <v>10001|100</v>
      </c>
      <c r="Q23" s="5" t="str">
        <f t="shared" si="1"/>
        <v>10002|1</v>
      </c>
      <c r="R23" s="5" t="str">
        <f t="shared" si="2"/>
        <v>10003|5</v>
      </c>
      <c r="S23" s="5" t="str">
        <f t="shared" si="3"/>
        <v>10004|12</v>
      </c>
      <c r="T23" s="5" t="str">
        <f t="shared" si="4"/>
        <v>10005|2</v>
      </c>
      <c r="U23" s="5" t="str">
        <f t="shared" si="5"/>
        <v>10006|4</v>
      </c>
      <c r="W23" t="str">
        <f t="shared" si="6"/>
        <v>10001|100$10002|1$10003|5$10004|12$10005|2$10006|4</v>
      </c>
      <c r="AB23" s="8">
        <v>21</v>
      </c>
      <c r="AC23" s="9">
        <f t="shared" si="7"/>
        <v>22050</v>
      </c>
      <c r="AD23" s="10">
        <f t="shared" si="8"/>
        <v>165550</v>
      </c>
      <c r="AE23" s="10">
        <f t="shared" si="9"/>
        <v>22050</v>
      </c>
    </row>
    <row r="24" ht="17.25" customHeight="1" spans="7:31">
      <c r="H24" s="1">
        <v>22</v>
      </c>
      <c r="I24">
        <v>100</v>
      </c>
      <c r="K24">
        <v>5</v>
      </c>
      <c r="L24">
        <v>12</v>
      </c>
      <c r="P24" s="5" t="str">
        <f t="shared" si="0"/>
        <v>10001|100</v>
      </c>
      <c r="Q24" s="5" t="str">
        <f t="shared" si="1"/>
        <v>10002|</v>
      </c>
      <c r="R24" s="5" t="str">
        <f t="shared" si="2"/>
        <v>10003|5</v>
      </c>
      <c r="S24" s="5" t="str">
        <f t="shared" si="3"/>
        <v>10004|12</v>
      </c>
      <c r="T24" s="5" t="str">
        <f t="shared" si="4"/>
        <v>10005|</v>
      </c>
      <c r="U24" s="5" t="str">
        <f t="shared" si="5"/>
        <v>10006|</v>
      </c>
      <c r="W24" t="str">
        <f t="shared" si="6"/>
        <v>10001|100$10002|$10003|5$10004|12$10005|$10006|</v>
      </c>
      <c r="AB24" s="8">
        <v>22</v>
      </c>
      <c r="AC24" s="9">
        <f t="shared" si="7"/>
        <v>24200</v>
      </c>
      <c r="AD24" s="10">
        <f t="shared" si="8"/>
        <v>189750</v>
      </c>
      <c r="AE24" s="10">
        <f t="shared" si="9"/>
        <v>24200</v>
      </c>
    </row>
    <row r="25" ht="17.25" customHeight="1" spans="7:31">
      <c r="H25" s="1">
        <v>23</v>
      </c>
      <c r="I25">
        <v>100</v>
      </c>
      <c r="K25">
        <v>5</v>
      </c>
      <c r="L25">
        <v>12</v>
      </c>
      <c r="P25" s="5" t="str">
        <f t="shared" si="0"/>
        <v>10001|100</v>
      </c>
      <c r="Q25" s="5" t="str">
        <f t="shared" si="1"/>
        <v>10002|</v>
      </c>
      <c r="R25" s="5" t="str">
        <f t="shared" si="2"/>
        <v>10003|5</v>
      </c>
      <c r="S25" s="5" t="str">
        <f t="shared" si="3"/>
        <v>10004|12</v>
      </c>
      <c r="T25" s="5" t="str">
        <f t="shared" si="4"/>
        <v>10005|</v>
      </c>
      <c r="U25" s="5" t="str">
        <f t="shared" si="5"/>
        <v>10006|</v>
      </c>
      <c r="W25" t="str">
        <f t="shared" si="6"/>
        <v>10001|100$10002|$10003|5$10004|12$10005|$10006|</v>
      </c>
      <c r="AB25" s="8">
        <v>23</v>
      </c>
      <c r="AC25" s="9">
        <f t="shared" si="7"/>
        <v>26450</v>
      </c>
      <c r="AD25" s="10">
        <f t="shared" si="8"/>
        <v>216200</v>
      </c>
      <c r="AE25" s="10">
        <f t="shared" si="9"/>
        <v>26450</v>
      </c>
    </row>
    <row r="26" ht="17.25" customHeight="1" spans="7:31">
      <c r="H26" s="1">
        <v>24</v>
      </c>
      <c r="I26">
        <v>100</v>
      </c>
      <c r="K26">
        <v>5</v>
      </c>
      <c r="L26">
        <v>12</v>
      </c>
      <c r="P26" s="5" t="str">
        <f t="shared" si="0"/>
        <v>10001|100</v>
      </c>
      <c r="Q26" s="5" t="str">
        <f t="shared" si="1"/>
        <v>10002|</v>
      </c>
      <c r="R26" s="5" t="str">
        <f t="shared" si="2"/>
        <v>10003|5</v>
      </c>
      <c r="S26" s="5" t="str">
        <f t="shared" si="3"/>
        <v>10004|12</v>
      </c>
      <c r="T26" s="5" t="str">
        <f t="shared" si="4"/>
        <v>10005|</v>
      </c>
      <c r="U26" s="5" t="str">
        <f t="shared" si="5"/>
        <v>10006|</v>
      </c>
      <c r="W26" t="str">
        <f t="shared" si="6"/>
        <v>10001|100$10002|$10003|5$10004|12$10005|$10006|</v>
      </c>
      <c r="AB26" s="8">
        <v>24</v>
      </c>
      <c r="AC26" s="9">
        <f t="shared" si="7"/>
        <v>28800</v>
      </c>
      <c r="AD26" s="10">
        <f t="shared" si="8"/>
        <v>245000</v>
      </c>
      <c r="AE26" s="10">
        <f t="shared" si="9"/>
        <v>28800</v>
      </c>
    </row>
    <row r="27" ht="17.25" customHeight="1" spans="7:31">
      <c r="H27" s="1">
        <v>25</v>
      </c>
      <c r="I27">
        <v>100</v>
      </c>
      <c r="K27">
        <v>5</v>
      </c>
      <c r="L27">
        <v>12</v>
      </c>
      <c r="P27" s="5" t="str">
        <f t="shared" si="0"/>
        <v>10001|100</v>
      </c>
      <c r="Q27" s="5" t="str">
        <f t="shared" si="1"/>
        <v>10002|</v>
      </c>
      <c r="R27" s="5" t="str">
        <f t="shared" si="2"/>
        <v>10003|5</v>
      </c>
      <c r="S27" s="5" t="str">
        <f t="shared" si="3"/>
        <v>10004|12</v>
      </c>
      <c r="T27" s="5" t="str">
        <f t="shared" si="4"/>
        <v>10005|</v>
      </c>
      <c r="U27" s="5" t="str">
        <f t="shared" si="5"/>
        <v>10006|</v>
      </c>
      <c r="W27" t="str">
        <f t="shared" si="6"/>
        <v>10001|100$10002|$10003|5$10004|12$10005|$10006|</v>
      </c>
      <c r="AB27" s="8">
        <v>25</v>
      </c>
      <c r="AC27" s="9">
        <f t="shared" si="7"/>
        <v>31250</v>
      </c>
      <c r="AD27" s="10">
        <f t="shared" si="8"/>
        <v>276250</v>
      </c>
      <c r="AE27" s="10">
        <f t="shared" si="9"/>
        <v>31250</v>
      </c>
    </row>
    <row r="28" ht="17.25" customHeight="1" spans="7:31">
      <c r="H28" s="1">
        <v>26</v>
      </c>
      <c r="I28">
        <v>100</v>
      </c>
      <c r="K28">
        <v>5</v>
      </c>
      <c r="L28">
        <v>12</v>
      </c>
      <c r="P28" s="5" t="str">
        <f t="shared" si="0"/>
        <v>10001|100</v>
      </c>
      <c r="Q28" s="5" t="str">
        <f t="shared" si="1"/>
        <v>10002|</v>
      </c>
      <c r="R28" s="5" t="str">
        <f t="shared" si="2"/>
        <v>10003|5</v>
      </c>
      <c r="S28" s="5" t="str">
        <f t="shared" si="3"/>
        <v>10004|12</v>
      </c>
      <c r="T28" s="5" t="str">
        <f t="shared" si="4"/>
        <v>10005|</v>
      </c>
      <c r="U28" s="5" t="str">
        <f t="shared" si="5"/>
        <v>10006|</v>
      </c>
      <c r="W28" t="str">
        <f t="shared" si="6"/>
        <v>10001|100$10002|$10003|5$10004|12$10005|$10006|</v>
      </c>
      <c r="AB28" s="8">
        <v>26</v>
      </c>
      <c r="AC28" s="9">
        <f t="shared" si="7"/>
        <v>33800</v>
      </c>
      <c r="AD28" s="10">
        <f t="shared" si="8"/>
        <v>310050</v>
      </c>
      <c r="AE28" s="10">
        <f t="shared" si="9"/>
        <v>33800</v>
      </c>
    </row>
    <row r="29" ht="17.25" customHeight="1" spans="7:31">
      <c r="H29" s="1">
        <v>27</v>
      </c>
      <c r="I29">
        <v>100</v>
      </c>
      <c r="K29">
        <v>5</v>
      </c>
      <c r="L29">
        <v>12</v>
      </c>
      <c r="P29" s="5" t="str">
        <f t="shared" si="0"/>
        <v>10001|100</v>
      </c>
      <c r="Q29" s="5" t="str">
        <f t="shared" si="1"/>
        <v>10002|</v>
      </c>
      <c r="R29" s="5" t="str">
        <f t="shared" si="2"/>
        <v>10003|5</v>
      </c>
      <c r="S29" s="5" t="str">
        <f t="shared" si="3"/>
        <v>10004|12</v>
      </c>
      <c r="T29" s="5" t="str">
        <f t="shared" si="4"/>
        <v>10005|</v>
      </c>
      <c r="U29" s="5" t="str">
        <f t="shared" si="5"/>
        <v>10006|</v>
      </c>
      <c r="W29" t="str">
        <f t="shared" si="6"/>
        <v>10001|100$10002|$10003|5$10004|12$10005|$10006|</v>
      </c>
      <c r="AB29" s="8">
        <v>27</v>
      </c>
      <c r="AC29" s="9">
        <f t="shared" si="7"/>
        <v>36450</v>
      </c>
      <c r="AD29" s="10">
        <f t="shared" si="8"/>
        <v>346500</v>
      </c>
      <c r="AE29" s="10">
        <f t="shared" si="9"/>
        <v>36450</v>
      </c>
    </row>
    <row r="30" ht="17.25" customHeight="1" spans="7:31">
      <c r="H30" s="1">
        <v>28</v>
      </c>
      <c r="I30">
        <v>100</v>
      </c>
      <c r="K30">
        <v>5</v>
      </c>
      <c r="L30">
        <v>12</v>
      </c>
      <c r="P30" s="5" t="str">
        <f t="shared" si="0"/>
        <v>10001|100</v>
      </c>
      <c r="Q30" s="5" t="str">
        <f t="shared" si="1"/>
        <v>10002|</v>
      </c>
      <c r="R30" s="5" t="str">
        <f t="shared" si="2"/>
        <v>10003|5</v>
      </c>
      <c r="S30" s="5" t="str">
        <f t="shared" si="3"/>
        <v>10004|12</v>
      </c>
      <c r="T30" s="5" t="str">
        <f t="shared" si="4"/>
        <v>10005|</v>
      </c>
      <c r="U30" s="5" t="str">
        <f t="shared" si="5"/>
        <v>10006|</v>
      </c>
      <c r="W30" t="str">
        <f t="shared" si="6"/>
        <v>10001|100$10002|$10003|5$10004|12$10005|$10006|</v>
      </c>
      <c r="AB30" s="8">
        <v>28</v>
      </c>
      <c r="AC30" s="9">
        <f t="shared" si="7"/>
        <v>39200</v>
      </c>
      <c r="AD30" s="10">
        <f t="shared" si="8"/>
        <v>385700</v>
      </c>
      <c r="AE30" s="10">
        <f t="shared" si="9"/>
        <v>39200</v>
      </c>
    </row>
    <row r="31" ht="17.25" customHeight="1" spans="7:31">
      <c r="H31" s="1">
        <v>29</v>
      </c>
      <c r="I31">
        <v>100</v>
      </c>
      <c r="K31">
        <v>5</v>
      </c>
      <c r="L31">
        <v>12</v>
      </c>
      <c r="P31" s="5" t="str">
        <f t="shared" si="0"/>
        <v>10001|100</v>
      </c>
      <c r="Q31" s="5" t="str">
        <f t="shared" si="1"/>
        <v>10002|</v>
      </c>
      <c r="R31" s="5" t="str">
        <f t="shared" si="2"/>
        <v>10003|5</v>
      </c>
      <c r="S31" s="5" t="str">
        <f t="shared" si="3"/>
        <v>10004|12</v>
      </c>
      <c r="T31" s="5" t="str">
        <f t="shared" si="4"/>
        <v>10005|</v>
      </c>
      <c r="U31" s="5" t="str">
        <f t="shared" si="5"/>
        <v>10006|</v>
      </c>
      <c r="W31" t="str">
        <f t="shared" si="6"/>
        <v>10001|100$10002|$10003|5$10004|12$10005|$10006|</v>
      </c>
      <c r="AB31" s="8">
        <v>29</v>
      </c>
      <c r="AC31" s="9">
        <f t="shared" si="7"/>
        <v>42050</v>
      </c>
      <c r="AD31" s="10">
        <f t="shared" si="8"/>
        <v>427750</v>
      </c>
      <c r="AE31" s="10">
        <f t="shared" si="9"/>
        <v>42050</v>
      </c>
    </row>
    <row r="32" ht="17.25" customHeight="1" spans="7:31">
      <c r="H32" s="1">
        <v>30</v>
      </c>
      <c r="I32">
        <v>100</v>
      </c>
      <c r="K32">
        <v>5</v>
      </c>
      <c r="L32">
        <v>12</v>
      </c>
      <c r="P32" s="5" t="str">
        <f t="shared" si="0"/>
        <v>10001|100</v>
      </c>
      <c r="Q32" s="5" t="str">
        <f t="shared" si="1"/>
        <v>10002|</v>
      </c>
      <c r="R32" s="5" t="str">
        <f t="shared" si="2"/>
        <v>10003|5</v>
      </c>
      <c r="S32" s="5" t="str">
        <f t="shared" si="3"/>
        <v>10004|12</v>
      </c>
      <c r="T32" s="5" t="str">
        <f t="shared" si="4"/>
        <v>10005|</v>
      </c>
      <c r="U32" s="5" t="str">
        <f t="shared" si="5"/>
        <v>10006|</v>
      </c>
      <c r="W32" t="str">
        <f t="shared" si="6"/>
        <v>10001|100$10002|$10003|5$10004|12$10005|$10006|</v>
      </c>
      <c r="AB32" s="8">
        <v>30</v>
      </c>
      <c r="AC32" s="9">
        <f t="shared" si="7"/>
        <v>45000</v>
      </c>
      <c r="AD32" s="10">
        <f t="shared" si="8"/>
        <v>472750</v>
      </c>
      <c r="AE32" s="10">
        <f t="shared" si="9"/>
        <v>45000</v>
      </c>
    </row>
    <row r="33" ht="17.25" customHeight="1" spans="6:31">
      <c r="F33" s="3" t="s">
        <v>201</v>
      </c>
      <c r="G33" s="3" t="s">
        <v>202</v>
      </c>
      <c r="H33" s="1">
        <v>31</v>
      </c>
      <c r="I33">
        <v>100</v>
      </c>
      <c r="J33">
        <v>2</v>
      </c>
      <c r="K33">
        <v>5</v>
      </c>
      <c r="L33">
        <v>12</v>
      </c>
      <c r="M33">
        <v>1</v>
      </c>
      <c r="N33">
        <v>2</v>
      </c>
      <c r="P33" s="5" t="str">
        <f t="shared" si="0"/>
        <v>10001|100</v>
      </c>
      <c r="Q33" s="5" t="str">
        <f t="shared" si="1"/>
        <v>10002|2</v>
      </c>
      <c r="R33" s="5" t="str">
        <f t="shared" si="2"/>
        <v>10003|5</v>
      </c>
      <c r="S33" s="5" t="str">
        <f t="shared" si="3"/>
        <v>10004|12</v>
      </c>
      <c r="T33" s="5" t="str">
        <f t="shared" si="4"/>
        <v>10005|1</v>
      </c>
      <c r="U33" s="5" t="str">
        <f t="shared" si="5"/>
        <v>10006|2</v>
      </c>
      <c r="W33" t="str">
        <f t="shared" si="6"/>
        <v>10001|100$10002|2$10003|5$10004|12$10005|1$10006|2</v>
      </c>
      <c r="AB33" s="8">
        <v>31</v>
      </c>
      <c r="AC33" s="9">
        <f t="shared" si="7"/>
        <v>48050</v>
      </c>
      <c r="AD33" s="10">
        <f t="shared" si="8"/>
        <v>520800</v>
      </c>
      <c r="AE33" s="10">
        <f t="shared" si="9"/>
        <v>48050</v>
      </c>
    </row>
    <row r="34" ht="17.25" customHeight="1" spans="6:31">
      <c r="H34" s="1">
        <v>32</v>
      </c>
      <c r="I34">
        <v>100</v>
      </c>
      <c r="K34">
        <v>5</v>
      </c>
      <c r="L34">
        <v>12</v>
      </c>
      <c r="P34" s="5" t="str">
        <f t="shared" si="0"/>
        <v>10001|100</v>
      </c>
      <c r="Q34" s="5" t="str">
        <f t="shared" si="1"/>
        <v>10002|</v>
      </c>
      <c r="R34" s="5" t="str">
        <f t="shared" si="2"/>
        <v>10003|5</v>
      </c>
      <c r="S34" s="5" t="str">
        <f t="shared" si="3"/>
        <v>10004|12</v>
      </c>
      <c r="T34" s="5" t="str">
        <f t="shared" si="4"/>
        <v>10005|</v>
      </c>
      <c r="U34" s="5" t="str">
        <f t="shared" si="5"/>
        <v>10006|</v>
      </c>
      <c r="W34" t="str">
        <f t="shared" si="6"/>
        <v>10001|100$10002|$10003|5$10004|12$10005|$10006|</v>
      </c>
      <c r="AB34" s="8">
        <v>32</v>
      </c>
      <c r="AC34" s="9">
        <f t="shared" si="7"/>
        <v>51200</v>
      </c>
      <c r="AD34" s="10">
        <f t="shared" si="8"/>
        <v>572000</v>
      </c>
      <c r="AE34" s="10">
        <f t="shared" si="9"/>
        <v>51200</v>
      </c>
    </row>
    <row r="35" ht="17.25" customHeight="1" spans="6:31">
      <c r="H35" s="1">
        <v>33</v>
      </c>
      <c r="I35">
        <v>100</v>
      </c>
      <c r="K35">
        <v>5</v>
      </c>
      <c r="L35">
        <v>12</v>
      </c>
      <c r="P35" s="5" t="str">
        <f t="shared" si="0"/>
        <v>10001|100</v>
      </c>
      <c r="Q35" s="5" t="str">
        <f t="shared" si="1"/>
        <v>10002|</v>
      </c>
      <c r="R35" s="5" t="str">
        <f t="shared" si="2"/>
        <v>10003|5</v>
      </c>
      <c r="S35" s="5" t="str">
        <f t="shared" si="3"/>
        <v>10004|12</v>
      </c>
      <c r="T35" s="5" t="str">
        <f t="shared" si="4"/>
        <v>10005|</v>
      </c>
      <c r="U35" s="5" t="str">
        <f t="shared" si="5"/>
        <v>10006|</v>
      </c>
      <c r="W35" t="str">
        <f t="shared" si="6"/>
        <v>10001|100$10002|$10003|5$10004|12$10005|$10006|</v>
      </c>
      <c r="AB35" s="8">
        <v>33</v>
      </c>
      <c r="AC35" s="9">
        <f t="shared" si="7"/>
        <v>54450</v>
      </c>
      <c r="AD35" s="10">
        <f t="shared" si="8"/>
        <v>626450</v>
      </c>
      <c r="AE35" s="10">
        <f t="shared" si="9"/>
        <v>54450</v>
      </c>
    </row>
    <row r="36" ht="17.25" customHeight="1" spans="6:31">
      <c r="H36" s="1">
        <v>34</v>
      </c>
      <c r="I36">
        <v>100</v>
      </c>
      <c r="K36">
        <v>5</v>
      </c>
      <c r="L36">
        <v>12</v>
      </c>
      <c r="P36" s="5" t="str">
        <f t="shared" si="0"/>
        <v>10001|100</v>
      </c>
      <c r="Q36" s="5" t="str">
        <f t="shared" si="1"/>
        <v>10002|</v>
      </c>
      <c r="R36" s="5" t="str">
        <f t="shared" si="2"/>
        <v>10003|5</v>
      </c>
      <c r="S36" s="5" t="str">
        <f t="shared" si="3"/>
        <v>10004|12</v>
      </c>
      <c r="T36" s="5" t="str">
        <f t="shared" si="4"/>
        <v>10005|</v>
      </c>
      <c r="U36" s="5" t="str">
        <f t="shared" si="5"/>
        <v>10006|</v>
      </c>
      <c r="W36" t="str">
        <f t="shared" si="6"/>
        <v>10001|100$10002|$10003|5$10004|12$10005|$10006|</v>
      </c>
      <c r="AB36" s="8">
        <v>34</v>
      </c>
      <c r="AC36" s="9">
        <f t="shared" si="7"/>
        <v>57800</v>
      </c>
      <c r="AD36" s="10">
        <f t="shared" si="8"/>
        <v>684250</v>
      </c>
      <c r="AE36" s="10">
        <f t="shared" si="9"/>
        <v>57800</v>
      </c>
    </row>
    <row r="37" ht="17.25" customHeight="1" spans="6:31">
      <c r="H37" s="1">
        <v>35</v>
      </c>
      <c r="I37">
        <v>100</v>
      </c>
      <c r="K37">
        <v>5</v>
      </c>
      <c r="L37">
        <v>12</v>
      </c>
      <c r="P37" s="5" t="str">
        <f t="shared" si="0"/>
        <v>10001|100</v>
      </c>
      <c r="Q37" s="5" t="str">
        <f t="shared" si="1"/>
        <v>10002|</v>
      </c>
      <c r="R37" s="5" t="str">
        <f t="shared" si="2"/>
        <v>10003|5</v>
      </c>
      <c r="S37" s="5" t="str">
        <f t="shared" si="3"/>
        <v>10004|12</v>
      </c>
      <c r="T37" s="5" t="str">
        <f t="shared" si="4"/>
        <v>10005|</v>
      </c>
      <c r="U37" s="5" t="str">
        <f t="shared" si="5"/>
        <v>10006|</v>
      </c>
      <c r="W37" t="str">
        <f t="shared" si="6"/>
        <v>10001|100$10002|$10003|5$10004|12$10005|$10006|</v>
      </c>
      <c r="AB37" s="8">
        <v>35</v>
      </c>
      <c r="AC37" s="9">
        <f t="shared" si="7"/>
        <v>61250</v>
      </c>
      <c r="AD37" s="10">
        <f t="shared" si="8"/>
        <v>745500</v>
      </c>
      <c r="AE37" s="10">
        <f t="shared" si="9"/>
        <v>61250</v>
      </c>
    </row>
    <row r="38" ht="17.25" customHeight="1" spans="6:31">
      <c r="H38" s="1">
        <v>36</v>
      </c>
      <c r="I38">
        <v>100</v>
      </c>
      <c r="K38">
        <v>5</v>
      </c>
      <c r="L38">
        <v>12</v>
      </c>
      <c r="P38" s="5" t="str">
        <f t="shared" si="0"/>
        <v>10001|100</v>
      </c>
      <c r="Q38" s="5" t="str">
        <f t="shared" si="1"/>
        <v>10002|</v>
      </c>
      <c r="R38" s="5" t="str">
        <f t="shared" si="2"/>
        <v>10003|5</v>
      </c>
      <c r="S38" s="5" t="str">
        <f t="shared" si="3"/>
        <v>10004|12</v>
      </c>
      <c r="T38" s="5" t="str">
        <f t="shared" si="4"/>
        <v>10005|</v>
      </c>
      <c r="U38" s="5" t="str">
        <f t="shared" si="5"/>
        <v>10006|</v>
      </c>
      <c r="W38" t="str">
        <f t="shared" si="6"/>
        <v>10001|100$10002|$10003|5$10004|12$10005|$10006|</v>
      </c>
      <c r="AB38" s="8">
        <v>36</v>
      </c>
      <c r="AC38" s="9">
        <f t="shared" si="7"/>
        <v>64800</v>
      </c>
      <c r="AD38" s="10">
        <f t="shared" si="8"/>
        <v>810300</v>
      </c>
      <c r="AE38" s="10">
        <f t="shared" si="9"/>
        <v>64800</v>
      </c>
    </row>
    <row r="39" ht="17.25" customHeight="1" spans="6:31">
      <c r="H39" s="1">
        <v>37</v>
      </c>
      <c r="I39">
        <v>100</v>
      </c>
      <c r="K39">
        <v>5</v>
      </c>
      <c r="L39">
        <v>12</v>
      </c>
      <c r="P39" s="5" t="str">
        <f t="shared" si="0"/>
        <v>10001|100</v>
      </c>
      <c r="Q39" s="5" t="str">
        <f t="shared" si="1"/>
        <v>10002|</v>
      </c>
      <c r="R39" s="5" t="str">
        <f t="shared" si="2"/>
        <v>10003|5</v>
      </c>
      <c r="S39" s="5" t="str">
        <f t="shared" si="3"/>
        <v>10004|12</v>
      </c>
      <c r="T39" s="5" t="str">
        <f t="shared" si="4"/>
        <v>10005|</v>
      </c>
      <c r="U39" s="5" t="str">
        <f t="shared" si="5"/>
        <v>10006|</v>
      </c>
      <c r="W39" t="str">
        <f t="shared" si="6"/>
        <v>10001|100$10002|$10003|5$10004|12$10005|$10006|</v>
      </c>
      <c r="AB39" s="8">
        <v>37</v>
      </c>
      <c r="AC39" s="9">
        <f t="shared" si="7"/>
        <v>68450</v>
      </c>
      <c r="AD39" s="10">
        <f t="shared" si="8"/>
        <v>878750</v>
      </c>
      <c r="AE39" s="10">
        <f t="shared" si="9"/>
        <v>68450</v>
      </c>
    </row>
    <row r="40" ht="17.25" customHeight="1" spans="6:31">
      <c r="H40" s="1">
        <v>38</v>
      </c>
      <c r="I40">
        <v>100</v>
      </c>
      <c r="K40">
        <v>5</v>
      </c>
      <c r="L40">
        <v>12</v>
      </c>
      <c r="P40" s="5" t="str">
        <f t="shared" si="0"/>
        <v>10001|100</v>
      </c>
      <c r="Q40" s="5" t="str">
        <f t="shared" si="1"/>
        <v>10002|</v>
      </c>
      <c r="R40" s="5" t="str">
        <f t="shared" si="2"/>
        <v>10003|5</v>
      </c>
      <c r="S40" s="5" t="str">
        <f t="shared" si="3"/>
        <v>10004|12</v>
      </c>
      <c r="T40" s="5" t="str">
        <f t="shared" si="4"/>
        <v>10005|</v>
      </c>
      <c r="U40" s="5" t="str">
        <f t="shared" si="5"/>
        <v>10006|</v>
      </c>
      <c r="W40" t="str">
        <f t="shared" si="6"/>
        <v>10001|100$10002|$10003|5$10004|12$10005|$10006|</v>
      </c>
      <c r="AB40" s="8">
        <v>38</v>
      </c>
      <c r="AC40" s="9">
        <f t="shared" si="7"/>
        <v>72200</v>
      </c>
      <c r="AD40" s="10">
        <f t="shared" si="8"/>
        <v>950950</v>
      </c>
      <c r="AE40" s="10">
        <f t="shared" si="9"/>
        <v>72200</v>
      </c>
    </row>
    <row r="41" ht="17.25" customHeight="1" spans="6:31">
      <c r="H41" s="1">
        <v>39</v>
      </c>
      <c r="I41">
        <v>100</v>
      </c>
      <c r="K41">
        <v>5</v>
      </c>
      <c r="L41">
        <v>12</v>
      </c>
      <c r="P41" s="5" t="str">
        <f t="shared" si="0"/>
        <v>10001|100</v>
      </c>
      <c r="Q41" s="5" t="str">
        <f t="shared" si="1"/>
        <v>10002|</v>
      </c>
      <c r="R41" s="5" t="str">
        <f t="shared" si="2"/>
        <v>10003|5</v>
      </c>
      <c r="S41" s="5" t="str">
        <f t="shared" si="3"/>
        <v>10004|12</v>
      </c>
      <c r="T41" s="5" t="str">
        <f t="shared" si="4"/>
        <v>10005|</v>
      </c>
      <c r="U41" s="5" t="str">
        <f t="shared" si="5"/>
        <v>10006|</v>
      </c>
      <c r="W41" t="str">
        <f t="shared" si="6"/>
        <v>10001|100$10002|$10003|5$10004|12$10005|$10006|</v>
      </c>
      <c r="AB41" s="8">
        <v>39</v>
      </c>
      <c r="AC41" s="9">
        <f t="shared" si="7"/>
        <v>76050</v>
      </c>
      <c r="AD41" s="10">
        <f t="shared" si="8"/>
        <v>1027000</v>
      </c>
      <c r="AE41" s="10">
        <f t="shared" si="9"/>
        <v>76050</v>
      </c>
    </row>
    <row r="42" ht="17.25" customHeight="1" spans="6:31">
      <c r="H42" s="1">
        <v>40</v>
      </c>
      <c r="I42">
        <v>100</v>
      </c>
      <c r="K42">
        <v>5</v>
      </c>
      <c r="L42">
        <v>12</v>
      </c>
      <c r="P42" s="5" t="str">
        <f t="shared" si="0"/>
        <v>10001|100</v>
      </c>
      <c r="Q42" s="5" t="str">
        <f t="shared" si="1"/>
        <v>10002|</v>
      </c>
      <c r="R42" s="5" t="str">
        <f t="shared" si="2"/>
        <v>10003|5</v>
      </c>
      <c r="S42" s="5" t="str">
        <f t="shared" si="3"/>
        <v>10004|12</v>
      </c>
      <c r="T42" s="5" t="str">
        <f t="shared" si="4"/>
        <v>10005|</v>
      </c>
      <c r="U42" s="5" t="str">
        <f t="shared" si="5"/>
        <v>10006|</v>
      </c>
      <c r="W42" t="str">
        <f t="shared" si="6"/>
        <v>10001|100$10002|$10003|5$10004|12$10005|$10006|</v>
      </c>
      <c r="AB42" s="8">
        <v>40</v>
      </c>
      <c r="AC42" s="9">
        <f t="shared" si="7"/>
        <v>80000</v>
      </c>
      <c r="AD42" s="10">
        <f t="shared" si="8"/>
        <v>1107000</v>
      </c>
      <c r="AE42" s="10">
        <f t="shared" si="9"/>
        <v>80000</v>
      </c>
    </row>
    <row r="43" ht="17.25" customHeight="1" spans="6:31">
      <c r="G43" s="3" t="s">
        <v>203</v>
      </c>
      <c r="H43" s="1">
        <v>41</v>
      </c>
      <c r="I43">
        <v>100</v>
      </c>
      <c r="J43">
        <v>1</v>
      </c>
      <c r="K43">
        <v>5</v>
      </c>
      <c r="L43">
        <v>12</v>
      </c>
      <c r="M43">
        <v>1</v>
      </c>
      <c r="N43">
        <v>2</v>
      </c>
      <c r="P43" s="5" t="str">
        <f t="shared" si="0"/>
        <v>10001|100</v>
      </c>
      <c r="Q43" s="5" t="str">
        <f t="shared" si="1"/>
        <v>10002|1</v>
      </c>
      <c r="R43" s="5" t="str">
        <f t="shared" si="2"/>
        <v>10003|5</v>
      </c>
      <c r="S43" s="5" t="str">
        <f t="shared" si="3"/>
        <v>10004|12</v>
      </c>
      <c r="T43" s="5" t="str">
        <f t="shared" si="4"/>
        <v>10005|1</v>
      </c>
      <c r="U43" s="5" t="str">
        <f t="shared" si="5"/>
        <v>10006|2</v>
      </c>
      <c r="W43" t="str">
        <f t="shared" si="6"/>
        <v>10001|100$10002|1$10003|5$10004|12$10005|1$10006|2</v>
      </c>
      <c r="AB43" s="8">
        <v>41</v>
      </c>
      <c r="AC43" s="9">
        <f t="shared" si="7"/>
        <v>84050</v>
      </c>
      <c r="AD43" s="10">
        <f t="shared" si="8"/>
        <v>1191050</v>
      </c>
      <c r="AE43" s="10">
        <f t="shared" si="9"/>
        <v>84050</v>
      </c>
    </row>
    <row r="44" ht="17.25" customHeight="1" spans="6:31">
      <c r="H44" s="1">
        <v>42</v>
      </c>
      <c r="I44">
        <v>100</v>
      </c>
      <c r="K44">
        <v>5</v>
      </c>
      <c r="L44">
        <v>12</v>
      </c>
      <c r="P44" s="5" t="str">
        <f t="shared" si="0"/>
        <v>10001|100</v>
      </c>
      <c r="Q44" s="5" t="str">
        <f t="shared" si="1"/>
        <v>10002|</v>
      </c>
      <c r="R44" s="5" t="str">
        <f t="shared" si="2"/>
        <v>10003|5</v>
      </c>
      <c r="S44" s="5" t="str">
        <f t="shared" si="3"/>
        <v>10004|12</v>
      </c>
      <c r="T44" s="5" t="str">
        <f t="shared" si="4"/>
        <v>10005|</v>
      </c>
      <c r="U44" s="5" t="str">
        <f t="shared" si="5"/>
        <v>10006|</v>
      </c>
      <c r="W44" t="str">
        <f t="shared" si="6"/>
        <v>10001|100$10002|$10003|5$10004|12$10005|$10006|</v>
      </c>
      <c r="AB44" s="8">
        <v>42</v>
      </c>
      <c r="AC44" s="9">
        <f t="shared" si="7"/>
        <v>88200</v>
      </c>
      <c r="AD44" s="10">
        <f t="shared" si="8"/>
        <v>1279250</v>
      </c>
      <c r="AE44" s="10">
        <f t="shared" si="9"/>
        <v>88200</v>
      </c>
    </row>
    <row r="45" ht="17.25" customHeight="1" spans="6:31">
      <c r="H45" s="1">
        <v>43</v>
      </c>
      <c r="I45">
        <v>100</v>
      </c>
      <c r="K45">
        <v>5</v>
      </c>
      <c r="L45">
        <v>12</v>
      </c>
      <c r="P45" s="5" t="str">
        <f t="shared" si="0"/>
        <v>10001|100</v>
      </c>
      <c r="Q45" s="5" t="str">
        <f t="shared" si="1"/>
        <v>10002|</v>
      </c>
      <c r="R45" s="5" t="str">
        <f t="shared" si="2"/>
        <v>10003|5</v>
      </c>
      <c r="S45" s="5" t="str">
        <f t="shared" si="3"/>
        <v>10004|12</v>
      </c>
      <c r="T45" s="5" t="str">
        <f t="shared" si="4"/>
        <v>10005|</v>
      </c>
      <c r="U45" s="5" t="str">
        <f t="shared" si="5"/>
        <v>10006|</v>
      </c>
      <c r="W45" t="str">
        <f t="shared" si="6"/>
        <v>10001|100$10002|$10003|5$10004|12$10005|$10006|</v>
      </c>
      <c r="AB45" s="8">
        <v>43</v>
      </c>
      <c r="AC45" s="9">
        <f t="shared" si="7"/>
        <v>92450</v>
      </c>
      <c r="AD45" s="10">
        <f t="shared" si="8"/>
        <v>1371700</v>
      </c>
      <c r="AE45" s="10">
        <f t="shared" si="9"/>
        <v>92450</v>
      </c>
    </row>
    <row r="46" ht="17.25" customHeight="1" spans="6:31">
      <c r="H46" s="1">
        <v>44</v>
      </c>
      <c r="I46">
        <v>100</v>
      </c>
      <c r="K46">
        <v>5</v>
      </c>
      <c r="L46">
        <v>12</v>
      </c>
      <c r="P46" s="5" t="str">
        <f t="shared" si="0"/>
        <v>10001|100</v>
      </c>
      <c r="Q46" s="5" t="str">
        <f t="shared" si="1"/>
        <v>10002|</v>
      </c>
      <c r="R46" s="5" t="str">
        <f t="shared" si="2"/>
        <v>10003|5</v>
      </c>
      <c r="S46" s="5" t="str">
        <f t="shared" si="3"/>
        <v>10004|12</v>
      </c>
      <c r="T46" s="5" t="str">
        <f t="shared" si="4"/>
        <v>10005|</v>
      </c>
      <c r="U46" s="5" t="str">
        <f t="shared" si="5"/>
        <v>10006|</v>
      </c>
      <c r="W46" t="str">
        <f t="shared" si="6"/>
        <v>10001|100$10002|$10003|5$10004|12$10005|$10006|</v>
      </c>
      <c r="AB46" s="8">
        <v>44</v>
      </c>
      <c r="AC46" s="9">
        <f t="shared" si="7"/>
        <v>96800</v>
      </c>
      <c r="AD46" s="10">
        <f t="shared" si="8"/>
        <v>1468500</v>
      </c>
      <c r="AE46" s="10">
        <f t="shared" si="9"/>
        <v>96800</v>
      </c>
    </row>
    <row r="47" ht="17.25" customHeight="1" spans="6:31">
      <c r="H47" s="1">
        <v>45</v>
      </c>
      <c r="I47">
        <v>100</v>
      </c>
      <c r="K47">
        <v>5</v>
      </c>
      <c r="L47">
        <v>12</v>
      </c>
      <c r="P47" s="5" t="str">
        <f t="shared" si="0"/>
        <v>10001|100</v>
      </c>
      <c r="Q47" s="5" t="str">
        <f t="shared" si="1"/>
        <v>10002|</v>
      </c>
      <c r="R47" s="5" t="str">
        <f t="shared" si="2"/>
        <v>10003|5</v>
      </c>
      <c r="S47" s="5" t="str">
        <f t="shared" si="3"/>
        <v>10004|12</v>
      </c>
      <c r="T47" s="5" t="str">
        <f t="shared" si="4"/>
        <v>10005|</v>
      </c>
      <c r="U47" s="5" t="str">
        <f t="shared" si="5"/>
        <v>10006|</v>
      </c>
      <c r="W47" t="str">
        <f t="shared" si="6"/>
        <v>10001|100$10002|$10003|5$10004|12$10005|$10006|</v>
      </c>
      <c r="AB47" s="8">
        <v>45</v>
      </c>
      <c r="AC47" s="9">
        <f t="shared" si="7"/>
        <v>101250</v>
      </c>
      <c r="AD47" s="10">
        <f t="shared" si="8"/>
        <v>1569750</v>
      </c>
      <c r="AE47" s="10">
        <f t="shared" si="9"/>
        <v>101250</v>
      </c>
    </row>
    <row r="48" ht="17.25" customHeight="1" spans="6:31">
      <c r="H48" s="1">
        <v>46</v>
      </c>
      <c r="I48">
        <v>100</v>
      </c>
      <c r="K48">
        <v>5</v>
      </c>
      <c r="L48">
        <v>12</v>
      </c>
      <c r="P48" s="5" t="str">
        <f t="shared" si="0"/>
        <v>10001|100</v>
      </c>
      <c r="Q48" s="5" t="str">
        <f t="shared" si="1"/>
        <v>10002|</v>
      </c>
      <c r="R48" s="5" t="str">
        <f t="shared" si="2"/>
        <v>10003|5</v>
      </c>
      <c r="S48" s="5" t="str">
        <f t="shared" si="3"/>
        <v>10004|12</v>
      </c>
      <c r="T48" s="5" t="str">
        <f t="shared" si="4"/>
        <v>10005|</v>
      </c>
      <c r="U48" s="5" t="str">
        <f t="shared" si="5"/>
        <v>10006|</v>
      </c>
      <c r="W48" t="str">
        <f t="shared" si="6"/>
        <v>10001|100$10002|$10003|5$10004|12$10005|$10006|</v>
      </c>
      <c r="AB48" s="8">
        <v>46</v>
      </c>
      <c r="AC48" s="9">
        <f t="shared" si="7"/>
        <v>105800</v>
      </c>
      <c r="AD48" s="10">
        <f t="shared" si="8"/>
        <v>1675550</v>
      </c>
      <c r="AE48" s="10">
        <f t="shared" si="9"/>
        <v>105800</v>
      </c>
    </row>
    <row r="49" ht="17.25" customHeight="1" spans="6:31">
      <c r="H49" s="1">
        <v>47</v>
      </c>
      <c r="I49">
        <v>100</v>
      </c>
      <c r="K49">
        <v>5</v>
      </c>
      <c r="L49">
        <v>12</v>
      </c>
      <c r="P49" s="5" t="str">
        <f t="shared" si="0"/>
        <v>10001|100</v>
      </c>
      <c r="Q49" s="5" t="str">
        <f t="shared" si="1"/>
        <v>10002|</v>
      </c>
      <c r="R49" s="5" t="str">
        <f t="shared" si="2"/>
        <v>10003|5</v>
      </c>
      <c r="S49" s="5" t="str">
        <f t="shared" si="3"/>
        <v>10004|12</v>
      </c>
      <c r="T49" s="5" t="str">
        <f t="shared" si="4"/>
        <v>10005|</v>
      </c>
      <c r="U49" s="5" t="str">
        <f t="shared" si="5"/>
        <v>10006|</v>
      </c>
      <c r="W49" t="str">
        <f t="shared" si="6"/>
        <v>10001|100$10002|$10003|5$10004|12$10005|$10006|</v>
      </c>
      <c r="AB49" s="8">
        <v>47</v>
      </c>
      <c r="AC49" s="9">
        <f t="shared" si="7"/>
        <v>110450</v>
      </c>
      <c r="AD49" s="10">
        <f t="shared" si="8"/>
        <v>1786000</v>
      </c>
      <c r="AE49" s="10">
        <f t="shared" si="9"/>
        <v>110450</v>
      </c>
    </row>
    <row r="50" ht="17.25" customHeight="1" spans="6:31">
      <c r="H50" s="1">
        <v>48</v>
      </c>
      <c r="I50">
        <v>100</v>
      </c>
      <c r="K50">
        <v>5</v>
      </c>
      <c r="L50">
        <v>12</v>
      </c>
      <c r="P50" s="5" t="str">
        <f t="shared" si="0"/>
        <v>10001|100</v>
      </c>
      <c r="Q50" s="5" t="str">
        <f t="shared" si="1"/>
        <v>10002|</v>
      </c>
      <c r="R50" s="5" t="str">
        <f t="shared" si="2"/>
        <v>10003|5</v>
      </c>
      <c r="S50" s="5" t="str">
        <f t="shared" si="3"/>
        <v>10004|12</v>
      </c>
      <c r="T50" s="5" t="str">
        <f t="shared" si="4"/>
        <v>10005|</v>
      </c>
      <c r="U50" s="5" t="str">
        <f t="shared" si="5"/>
        <v>10006|</v>
      </c>
      <c r="W50" t="str">
        <f t="shared" si="6"/>
        <v>10001|100$10002|$10003|5$10004|12$10005|$10006|</v>
      </c>
      <c r="AB50" s="8">
        <v>48</v>
      </c>
      <c r="AC50" s="9">
        <f t="shared" si="7"/>
        <v>115200</v>
      </c>
      <c r="AD50" s="10">
        <f t="shared" si="8"/>
        <v>1901200</v>
      </c>
      <c r="AE50" s="10">
        <f t="shared" si="9"/>
        <v>115200</v>
      </c>
    </row>
    <row r="51" ht="17.25" customHeight="1" spans="6:31">
      <c r="H51" s="1">
        <v>49</v>
      </c>
      <c r="I51">
        <v>100</v>
      </c>
      <c r="K51">
        <v>5</v>
      </c>
      <c r="L51">
        <v>12</v>
      </c>
      <c r="P51" s="5" t="str">
        <f t="shared" si="0"/>
        <v>10001|100</v>
      </c>
      <c r="Q51" s="5" t="str">
        <f t="shared" si="1"/>
        <v>10002|</v>
      </c>
      <c r="R51" s="5" t="str">
        <f t="shared" si="2"/>
        <v>10003|5</v>
      </c>
      <c r="S51" s="5" t="str">
        <f t="shared" si="3"/>
        <v>10004|12</v>
      </c>
      <c r="T51" s="5" t="str">
        <f t="shared" si="4"/>
        <v>10005|</v>
      </c>
      <c r="U51" s="5" t="str">
        <f t="shared" si="5"/>
        <v>10006|</v>
      </c>
      <c r="W51" t="str">
        <f t="shared" si="6"/>
        <v>10001|100$10002|$10003|5$10004|12$10005|$10006|</v>
      </c>
      <c r="AB51" s="8">
        <v>49</v>
      </c>
      <c r="AC51" s="9">
        <f t="shared" si="7"/>
        <v>120050</v>
      </c>
      <c r="AD51" s="10">
        <f t="shared" si="8"/>
        <v>2021250</v>
      </c>
      <c r="AE51" s="10">
        <f t="shared" si="9"/>
        <v>120050</v>
      </c>
    </row>
    <row r="52" ht="17.25" customHeight="1" spans="6:31">
      <c r="H52" s="1">
        <v>50</v>
      </c>
      <c r="I52">
        <v>100</v>
      </c>
      <c r="K52">
        <v>5</v>
      </c>
      <c r="L52">
        <v>12</v>
      </c>
      <c r="P52" s="5" t="str">
        <f t="shared" si="0"/>
        <v>10001|100</v>
      </c>
      <c r="Q52" s="5" t="str">
        <f t="shared" si="1"/>
        <v>10002|</v>
      </c>
      <c r="R52" s="5" t="str">
        <f t="shared" si="2"/>
        <v>10003|5</v>
      </c>
      <c r="S52" s="5" t="str">
        <f t="shared" si="3"/>
        <v>10004|12</v>
      </c>
      <c r="T52" s="5" t="str">
        <f t="shared" si="4"/>
        <v>10005|</v>
      </c>
      <c r="U52" s="5" t="str">
        <f t="shared" si="5"/>
        <v>10006|</v>
      </c>
      <c r="W52" t="str">
        <f t="shared" si="6"/>
        <v>10001|100$10002|$10003|5$10004|12$10005|$10006|</v>
      </c>
      <c r="AB52" s="8">
        <v>50</v>
      </c>
      <c r="AC52" s="9">
        <f t="shared" si="7"/>
        <v>125000</v>
      </c>
      <c r="AD52" s="10">
        <f t="shared" si="8"/>
        <v>2146250</v>
      </c>
      <c r="AE52" s="10">
        <f t="shared" si="9"/>
        <v>125000</v>
      </c>
    </row>
    <row r="53" ht="17.25" customHeight="1" spans="6:31">
      <c r="G53" s="3" t="s">
        <v>204</v>
      </c>
      <c r="H53" s="1">
        <v>51</v>
      </c>
      <c r="I53">
        <v>100</v>
      </c>
      <c r="J53">
        <v>1</v>
      </c>
      <c r="K53">
        <v>5</v>
      </c>
      <c r="L53">
        <v>12</v>
      </c>
      <c r="M53">
        <v>1</v>
      </c>
      <c r="N53">
        <v>3</v>
      </c>
      <c r="P53" s="5" t="str">
        <f t="shared" si="0"/>
        <v>10001|100</v>
      </c>
      <c r="Q53" s="5" t="str">
        <f t="shared" si="1"/>
        <v>10002|1</v>
      </c>
      <c r="R53" s="5" t="str">
        <f t="shared" si="2"/>
        <v>10003|5</v>
      </c>
      <c r="S53" s="5" t="str">
        <f t="shared" si="3"/>
        <v>10004|12</v>
      </c>
      <c r="T53" s="5" t="str">
        <f t="shared" si="4"/>
        <v>10005|1</v>
      </c>
      <c r="U53" s="5" t="str">
        <f t="shared" si="5"/>
        <v>10006|3</v>
      </c>
      <c r="W53" t="str">
        <f t="shared" si="6"/>
        <v>10001|100$10002|1$10003|5$10004|12$10005|1$10006|3</v>
      </c>
      <c r="AB53" s="8">
        <v>51</v>
      </c>
      <c r="AC53" s="9">
        <f t="shared" si="7"/>
        <v>130050</v>
      </c>
      <c r="AD53" s="10">
        <f t="shared" si="8"/>
        <v>2276300</v>
      </c>
      <c r="AE53" s="10">
        <f t="shared" si="9"/>
        <v>130050</v>
      </c>
    </row>
    <row r="54" ht="17.25" customHeight="1" spans="6:31">
      <c r="H54" s="1">
        <v>52</v>
      </c>
      <c r="I54">
        <v>100</v>
      </c>
      <c r="K54">
        <v>5</v>
      </c>
      <c r="L54">
        <v>12</v>
      </c>
      <c r="P54" s="5" t="str">
        <f t="shared" si="0"/>
        <v>10001|100</v>
      </c>
      <c r="Q54" s="5" t="str">
        <f t="shared" si="1"/>
        <v>10002|</v>
      </c>
      <c r="R54" s="5" t="str">
        <f t="shared" si="2"/>
        <v>10003|5</v>
      </c>
      <c r="S54" s="5" t="str">
        <f t="shared" si="3"/>
        <v>10004|12</v>
      </c>
      <c r="T54" s="5" t="str">
        <f t="shared" si="4"/>
        <v>10005|</v>
      </c>
      <c r="U54" s="5" t="str">
        <f t="shared" si="5"/>
        <v>10006|</v>
      </c>
      <c r="W54" t="str">
        <f t="shared" si="6"/>
        <v>10001|100$10002|$10003|5$10004|12$10005|$10006|</v>
      </c>
      <c r="AB54" s="8">
        <v>52</v>
      </c>
      <c r="AC54" s="9">
        <f t="shared" si="7"/>
        <v>135200</v>
      </c>
      <c r="AD54" s="10">
        <f t="shared" si="8"/>
        <v>2411500</v>
      </c>
      <c r="AE54" s="10">
        <f t="shared" si="9"/>
        <v>135200</v>
      </c>
    </row>
    <row r="55" ht="17.25" customHeight="1" spans="6:31">
      <c r="H55" s="1">
        <v>53</v>
      </c>
      <c r="I55">
        <v>100</v>
      </c>
      <c r="K55">
        <v>5</v>
      </c>
      <c r="L55">
        <v>12</v>
      </c>
      <c r="P55" s="5" t="str">
        <f t="shared" si="0"/>
        <v>10001|100</v>
      </c>
      <c r="Q55" s="5" t="str">
        <f t="shared" si="1"/>
        <v>10002|</v>
      </c>
      <c r="R55" s="5" t="str">
        <f t="shared" si="2"/>
        <v>10003|5</v>
      </c>
      <c r="S55" s="5" t="str">
        <f t="shared" si="3"/>
        <v>10004|12</v>
      </c>
      <c r="T55" s="5" t="str">
        <f t="shared" si="4"/>
        <v>10005|</v>
      </c>
      <c r="U55" s="5" t="str">
        <f t="shared" si="5"/>
        <v>10006|</v>
      </c>
      <c r="W55" t="str">
        <f t="shared" si="6"/>
        <v>10001|100$10002|$10003|5$10004|12$10005|$10006|</v>
      </c>
      <c r="AB55" s="8">
        <v>53</v>
      </c>
      <c r="AC55" s="9">
        <f t="shared" si="7"/>
        <v>140450</v>
      </c>
      <c r="AD55" s="10">
        <f t="shared" si="8"/>
        <v>2551950</v>
      </c>
      <c r="AE55" s="10">
        <f t="shared" si="9"/>
        <v>140450</v>
      </c>
    </row>
    <row r="56" ht="17.25" customHeight="1" spans="6:31">
      <c r="H56" s="1">
        <v>54</v>
      </c>
      <c r="I56">
        <v>100</v>
      </c>
      <c r="K56">
        <v>5</v>
      </c>
      <c r="L56">
        <v>12</v>
      </c>
      <c r="P56" s="5" t="str">
        <f t="shared" si="0"/>
        <v>10001|100</v>
      </c>
      <c r="Q56" s="5" t="str">
        <f t="shared" si="1"/>
        <v>10002|</v>
      </c>
      <c r="R56" s="5" t="str">
        <f t="shared" si="2"/>
        <v>10003|5</v>
      </c>
      <c r="S56" s="5" t="str">
        <f t="shared" si="3"/>
        <v>10004|12</v>
      </c>
      <c r="T56" s="5" t="str">
        <f t="shared" si="4"/>
        <v>10005|</v>
      </c>
      <c r="U56" s="5" t="str">
        <f t="shared" si="5"/>
        <v>10006|</v>
      </c>
      <c r="W56" t="str">
        <f t="shared" si="6"/>
        <v>10001|100$10002|$10003|5$10004|12$10005|$10006|</v>
      </c>
      <c r="AB56" s="8">
        <v>54</v>
      </c>
      <c r="AC56" s="9">
        <f t="shared" si="7"/>
        <v>145800</v>
      </c>
      <c r="AD56" s="10">
        <f t="shared" si="8"/>
        <v>2697750</v>
      </c>
      <c r="AE56" s="10">
        <f t="shared" si="9"/>
        <v>145800</v>
      </c>
    </row>
    <row r="57" ht="17.25" customHeight="1" spans="6:31">
      <c r="H57" s="1">
        <v>55</v>
      </c>
      <c r="I57">
        <v>100</v>
      </c>
      <c r="K57">
        <v>5</v>
      </c>
      <c r="L57">
        <v>12</v>
      </c>
      <c r="P57" s="5" t="str">
        <f t="shared" si="0"/>
        <v>10001|100</v>
      </c>
      <c r="Q57" s="5" t="str">
        <f t="shared" si="1"/>
        <v>10002|</v>
      </c>
      <c r="R57" s="5" t="str">
        <f t="shared" si="2"/>
        <v>10003|5</v>
      </c>
      <c r="S57" s="5" t="str">
        <f t="shared" si="3"/>
        <v>10004|12</v>
      </c>
      <c r="T57" s="5" t="str">
        <f t="shared" si="4"/>
        <v>10005|</v>
      </c>
      <c r="U57" s="5" t="str">
        <f t="shared" si="5"/>
        <v>10006|</v>
      </c>
      <c r="W57" t="str">
        <f t="shared" si="6"/>
        <v>10001|100$10002|$10003|5$10004|12$10005|$10006|</v>
      </c>
      <c r="AB57" s="8">
        <v>55</v>
      </c>
      <c r="AC57" s="9">
        <f t="shared" si="7"/>
        <v>151250</v>
      </c>
      <c r="AD57" s="10">
        <f t="shared" si="8"/>
        <v>2849000</v>
      </c>
      <c r="AE57" s="10">
        <f t="shared" si="9"/>
        <v>151250</v>
      </c>
    </row>
    <row r="58" ht="17.25" customHeight="1" spans="6:31">
      <c r="H58" s="1">
        <v>56</v>
      </c>
      <c r="I58">
        <v>100</v>
      </c>
      <c r="K58">
        <v>5</v>
      </c>
      <c r="L58">
        <v>12</v>
      </c>
      <c r="P58" s="5" t="str">
        <f t="shared" si="0"/>
        <v>10001|100</v>
      </c>
      <c r="Q58" s="5" t="str">
        <f t="shared" si="1"/>
        <v>10002|</v>
      </c>
      <c r="R58" s="5" t="str">
        <f t="shared" si="2"/>
        <v>10003|5</v>
      </c>
      <c r="S58" s="5" t="str">
        <f t="shared" si="3"/>
        <v>10004|12</v>
      </c>
      <c r="T58" s="5" t="str">
        <f t="shared" si="4"/>
        <v>10005|</v>
      </c>
      <c r="U58" s="5" t="str">
        <f t="shared" si="5"/>
        <v>10006|</v>
      </c>
      <c r="W58" t="str">
        <f t="shared" si="6"/>
        <v>10001|100$10002|$10003|5$10004|12$10005|$10006|</v>
      </c>
      <c r="AB58" s="8">
        <v>56</v>
      </c>
      <c r="AC58" s="9">
        <f t="shared" si="7"/>
        <v>156800</v>
      </c>
      <c r="AD58" s="10">
        <f t="shared" si="8"/>
        <v>3005800</v>
      </c>
      <c r="AE58" s="10">
        <f t="shared" si="9"/>
        <v>156800</v>
      </c>
    </row>
    <row r="59" ht="17.25" customHeight="1" spans="6:31">
      <c r="H59" s="1">
        <v>57</v>
      </c>
      <c r="I59">
        <v>100</v>
      </c>
      <c r="K59">
        <v>5</v>
      </c>
      <c r="L59">
        <v>12</v>
      </c>
      <c r="P59" s="5" t="str">
        <f t="shared" si="0"/>
        <v>10001|100</v>
      </c>
      <c r="Q59" s="5" t="str">
        <f t="shared" si="1"/>
        <v>10002|</v>
      </c>
      <c r="R59" s="5" t="str">
        <f t="shared" si="2"/>
        <v>10003|5</v>
      </c>
      <c r="S59" s="5" t="str">
        <f t="shared" si="3"/>
        <v>10004|12</v>
      </c>
      <c r="T59" s="5" t="str">
        <f t="shared" si="4"/>
        <v>10005|</v>
      </c>
      <c r="U59" s="5" t="str">
        <f t="shared" si="5"/>
        <v>10006|</v>
      </c>
      <c r="W59" t="str">
        <f t="shared" si="6"/>
        <v>10001|100$10002|$10003|5$10004|12$10005|$10006|</v>
      </c>
      <c r="AB59" s="8">
        <v>57</v>
      </c>
      <c r="AC59" s="9">
        <f t="shared" si="7"/>
        <v>162450</v>
      </c>
      <c r="AD59" s="10">
        <f t="shared" si="8"/>
        <v>3168250</v>
      </c>
      <c r="AE59" s="10">
        <f t="shared" si="9"/>
        <v>162450</v>
      </c>
    </row>
    <row r="60" ht="17.25" customHeight="1" spans="6:31">
      <c r="H60" s="1">
        <v>58</v>
      </c>
      <c r="I60">
        <v>100</v>
      </c>
      <c r="K60">
        <v>5</v>
      </c>
      <c r="L60">
        <v>12</v>
      </c>
      <c r="P60" s="5" t="str">
        <f t="shared" si="0"/>
        <v>10001|100</v>
      </c>
      <c r="Q60" s="5" t="str">
        <f t="shared" si="1"/>
        <v>10002|</v>
      </c>
      <c r="R60" s="5" t="str">
        <f t="shared" si="2"/>
        <v>10003|5</v>
      </c>
      <c r="S60" s="5" t="str">
        <f t="shared" si="3"/>
        <v>10004|12</v>
      </c>
      <c r="T60" s="5" t="str">
        <f t="shared" si="4"/>
        <v>10005|</v>
      </c>
      <c r="U60" s="5" t="str">
        <f t="shared" si="5"/>
        <v>10006|</v>
      </c>
      <c r="W60" t="str">
        <f t="shared" si="6"/>
        <v>10001|100$10002|$10003|5$10004|12$10005|$10006|</v>
      </c>
      <c r="AB60" s="8">
        <v>58</v>
      </c>
      <c r="AC60" s="9">
        <f t="shared" si="7"/>
        <v>168200</v>
      </c>
      <c r="AD60" s="10">
        <f t="shared" si="8"/>
        <v>3336450</v>
      </c>
      <c r="AE60" s="10">
        <f t="shared" si="9"/>
        <v>168200</v>
      </c>
    </row>
    <row r="61" ht="17.25" customHeight="1" spans="6:31">
      <c r="H61" s="1">
        <v>59</v>
      </c>
      <c r="I61">
        <v>100</v>
      </c>
      <c r="K61">
        <v>5</v>
      </c>
      <c r="L61">
        <v>12</v>
      </c>
      <c r="P61" s="5" t="str">
        <f t="shared" si="0"/>
        <v>10001|100</v>
      </c>
      <c r="Q61" s="5" t="str">
        <f t="shared" si="1"/>
        <v>10002|</v>
      </c>
      <c r="R61" s="5" t="str">
        <f t="shared" si="2"/>
        <v>10003|5</v>
      </c>
      <c r="S61" s="5" t="str">
        <f t="shared" si="3"/>
        <v>10004|12</v>
      </c>
      <c r="T61" s="5" t="str">
        <f t="shared" si="4"/>
        <v>10005|</v>
      </c>
      <c r="U61" s="5" t="str">
        <f t="shared" si="5"/>
        <v>10006|</v>
      </c>
      <c r="W61" t="str">
        <f t="shared" si="6"/>
        <v>10001|100$10002|$10003|5$10004|12$10005|$10006|</v>
      </c>
      <c r="AB61" s="8">
        <v>59</v>
      </c>
      <c r="AC61" s="9">
        <f t="shared" si="7"/>
        <v>174050</v>
      </c>
      <c r="AD61" s="10">
        <f t="shared" si="8"/>
        <v>3510500</v>
      </c>
      <c r="AE61" s="10">
        <f t="shared" si="9"/>
        <v>174050</v>
      </c>
    </row>
    <row r="62" ht="17.25" customHeight="1" spans="6:31">
      <c r="H62" s="1">
        <v>60</v>
      </c>
      <c r="I62">
        <v>100</v>
      </c>
      <c r="K62">
        <v>5</v>
      </c>
      <c r="L62">
        <v>12</v>
      </c>
      <c r="P62" s="5" t="str">
        <f t="shared" si="0"/>
        <v>10001|100</v>
      </c>
      <c r="Q62" s="5" t="str">
        <f t="shared" si="1"/>
        <v>10002|</v>
      </c>
      <c r="R62" s="5" t="str">
        <f t="shared" si="2"/>
        <v>10003|5</v>
      </c>
      <c r="S62" s="5" t="str">
        <f t="shared" si="3"/>
        <v>10004|12</v>
      </c>
      <c r="T62" s="5" t="str">
        <f t="shared" si="4"/>
        <v>10005|</v>
      </c>
      <c r="U62" s="5" t="str">
        <f t="shared" si="5"/>
        <v>10006|</v>
      </c>
      <c r="W62" t="str">
        <f t="shared" si="6"/>
        <v>10001|100$10002|$10003|5$10004|12$10005|$10006|</v>
      </c>
      <c r="AB62" s="8">
        <v>60</v>
      </c>
      <c r="AC62" s="9">
        <f t="shared" si="7"/>
        <v>180000</v>
      </c>
      <c r="AD62" s="10">
        <f t="shared" si="8"/>
        <v>3690500</v>
      </c>
      <c r="AE62" s="10">
        <f t="shared" si="9"/>
        <v>180000</v>
      </c>
    </row>
    <row r="63" ht="17.25" customHeight="1" spans="6:31">
      <c r="F63" s="3" t="s">
        <v>205</v>
      </c>
      <c r="G63" s="3" t="s">
        <v>206</v>
      </c>
      <c r="H63" s="1">
        <v>61</v>
      </c>
      <c r="I63">
        <v>100</v>
      </c>
      <c r="J63">
        <v>2</v>
      </c>
      <c r="K63">
        <v>5</v>
      </c>
      <c r="L63">
        <v>12</v>
      </c>
      <c r="M63">
        <v>1</v>
      </c>
      <c r="N63">
        <v>2</v>
      </c>
      <c r="P63" s="5" t="str">
        <f t="shared" si="0"/>
        <v>10001|100</v>
      </c>
      <c r="Q63" s="5" t="str">
        <f t="shared" si="1"/>
        <v>10002|2</v>
      </c>
      <c r="R63" s="5" t="str">
        <f t="shared" si="2"/>
        <v>10003|5</v>
      </c>
      <c r="S63" s="5" t="str">
        <f t="shared" si="3"/>
        <v>10004|12</v>
      </c>
      <c r="T63" s="5" t="str">
        <f t="shared" si="4"/>
        <v>10005|1</v>
      </c>
      <c r="U63" s="5" t="str">
        <f t="shared" si="5"/>
        <v>10006|2</v>
      </c>
      <c r="W63" t="str">
        <f t="shared" si="6"/>
        <v>10001|100$10002|2$10003|5$10004|12$10005|1$10006|2</v>
      </c>
      <c r="AB63" s="8">
        <v>61</v>
      </c>
      <c r="AC63" s="9">
        <f t="shared" si="7"/>
        <v>186050</v>
      </c>
      <c r="AD63" s="10">
        <f t="shared" si="8"/>
        <v>3876550</v>
      </c>
      <c r="AE63" s="10">
        <f t="shared" si="9"/>
        <v>186050</v>
      </c>
    </row>
    <row r="64" ht="17.25" customHeight="1" spans="6:31">
      <c r="H64" s="1">
        <v>62</v>
      </c>
      <c r="I64">
        <v>100</v>
      </c>
      <c r="K64">
        <v>5</v>
      </c>
      <c r="L64">
        <v>12</v>
      </c>
      <c r="P64" s="5" t="str">
        <f t="shared" si="0"/>
        <v>10001|100</v>
      </c>
      <c r="Q64" s="5" t="str">
        <f t="shared" si="1"/>
        <v>10002|</v>
      </c>
      <c r="R64" s="5" t="str">
        <f t="shared" si="2"/>
        <v>10003|5</v>
      </c>
      <c r="S64" s="5" t="str">
        <f t="shared" si="3"/>
        <v>10004|12</v>
      </c>
      <c r="T64" s="5" t="str">
        <f t="shared" si="4"/>
        <v>10005|</v>
      </c>
      <c r="U64" s="5" t="str">
        <f t="shared" si="5"/>
        <v>10006|</v>
      </c>
      <c r="W64" t="str">
        <f t="shared" si="6"/>
        <v>10001|100$10002|$10003|5$10004|12$10005|$10006|</v>
      </c>
      <c r="AB64" s="8">
        <v>62</v>
      </c>
      <c r="AC64" s="9">
        <f t="shared" si="7"/>
        <v>192200</v>
      </c>
      <c r="AD64" s="10">
        <f t="shared" si="8"/>
        <v>4068750</v>
      </c>
      <c r="AE64" s="10">
        <f t="shared" si="9"/>
        <v>192200</v>
      </c>
    </row>
    <row r="65" ht="17.25" customHeight="1" spans="7:31">
      <c r="H65" s="1">
        <v>63</v>
      </c>
      <c r="I65">
        <v>100</v>
      </c>
      <c r="K65">
        <v>5</v>
      </c>
      <c r="L65">
        <v>12</v>
      </c>
      <c r="P65" s="5" t="str">
        <f t="shared" si="0"/>
        <v>10001|100</v>
      </c>
      <c r="Q65" s="5" t="str">
        <f t="shared" si="1"/>
        <v>10002|</v>
      </c>
      <c r="R65" s="5" t="str">
        <f t="shared" si="2"/>
        <v>10003|5</v>
      </c>
      <c r="S65" s="5" t="str">
        <f t="shared" si="3"/>
        <v>10004|12</v>
      </c>
      <c r="T65" s="5" t="str">
        <f t="shared" si="4"/>
        <v>10005|</v>
      </c>
      <c r="U65" s="5" t="str">
        <f t="shared" si="5"/>
        <v>10006|</v>
      </c>
      <c r="W65" t="str">
        <f t="shared" si="6"/>
        <v>10001|100$10002|$10003|5$10004|12$10005|$10006|</v>
      </c>
      <c r="AB65" s="8">
        <v>63</v>
      </c>
      <c r="AC65" s="9">
        <f t="shared" si="7"/>
        <v>198450</v>
      </c>
      <c r="AD65" s="10">
        <f t="shared" si="8"/>
        <v>4267200</v>
      </c>
      <c r="AE65" s="10">
        <f t="shared" si="9"/>
        <v>198450</v>
      </c>
    </row>
    <row r="66" ht="17.25" customHeight="1" spans="7:31">
      <c r="H66" s="1">
        <v>64</v>
      </c>
      <c r="I66">
        <v>100</v>
      </c>
      <c r="K66">
        <v>5</v>
      </c>
      <c r="L66">
        <v>12</v>
      </c>
      <c r="P66" s="5" t="str">
        <f t="shared" si="0"/>
        <v>10001|100</v>
      </c>
      <c r="Q66" s="5" t="str">
        <f t="shared" si="1"/>
        <v>10002|</v>
      </c>
      <c r="R66" s="5" t="str">
        <f t="shared" si="2"/>
        <v>10003|5</v>
      </c>
      <c r="S66" s="5" t="str">
        <f t="shared" si="3"/>
        <v>10004|12</v>
      </c>
      <c r="T66" s="5" t="str">
        <f t="shared" si="4"/>
        <v>10005|</v>
      </c>
      <c r="U66" s="5" t="str">
        <f t="shared" si="5"/>
        <v>10006|</v>
      </c>
      <c r="W66" t="str">
        <f t="shared" si="6"/>
        <v>10001|100$10002|$10003|5$10004|12$10005|$10006|</v>
      </c>
      <c r="AB66" s="8">
        <v>64</v>
      </c>
      <c r="AC66" s="9">
        <f t="shared" si="7"/>
        <v>204800</v>
      </c>
      <c r="AD66" s="10">
        <f t="shared" si="8"/>
        <v>4472000</v>
      </c>
      <c r="AE66" s="10">
        <f t="shared" si="9"/>
        <v>204800</v>
      </c>
    </row>
    <row r="67" ht="17.25" customHeight="1" spans="7:31">
      <c r="H67" s="1">
        <v>65</v>
      </c>
      <c r="I67">
        <v>100</v>
      </c>
      <c r="K67">
        <v>5</v>
      </c>
      <c r="L67">
        <v>12</v>
      </c>
      <c r="P67" s="5" t="str">
        <f t="shared" ref="P67:P130" si="10">$I$2&amp;"|"&amp;I67</f>
        <v>10001|100</v>
      </c>
      <c r="Q67" s="5" t="str">
        <f t="shared" ref="Q67:Q130" si="11">$J$2&amp;"|"&amp;J67</f>
        <v>10002|</v>
      </c>
      <c r="R67" s="5" t="str">
        <f t="shared" ref="R67:R130" si="12">$K$2&amp;"|"&amp;K67</f>
        <v>10003|5</v>
      </c>
      <c r="S67" s="5" t="str">
        <f t="shared" ref="S67:S130" si="13">$L$2&amp;"|"&amp;L67</f>
        <v>10004|12</v>
      </c>
      <c r="T67" s="5" t="str">
        <f t="shared" ref="T67:T130" si="14">$M$2&amp;"|"&amp;M67</f>
        <v>10005|</v>
      </c>
      <c r="U67" s="5" t="str">
        <f t="shared" ref="U67:U130" si="15">$N$2&amp;"|"&amp;N67</f>
        <v>10006|</v>
      </c>
      <c r="W67" t="str">
        <f t="shared" ref="W67:W130" si="16">P67&amp;"$"&amp;Q67&amp;"$"&amp;R67&amp;"$"&amp;S67&amp;"$"&amp;T67&amp;"$"&amp;U67</f>
        <v>10001|100$10002|$10003|5$10004|12$10005|$10006|</v>
      </c>
      <c r="AB67" s="8">
        <v>65</v>
      </c>
      <c r="AC67" s="9">
        <f t="shared" ref="AC67:AC130" si="17">$Y$3*POWER(AB67,$Z$3)</f>
        <v>211250</v>
      </c>
      <c r="AD67" s="10">
        <f t="shared" si="8"/>
        <v>4683250</v>
      </c>
      <c r="AE67" s="10">
        <f t="shared" si="9"/>
        <v>211250</v>
      </c>
    </row>
    <row r="68" ht="17.25" customHeight="1" spans="7:31">
      <c r="H68" s="1">
        <v>66</v>
      </c>
      <c r="I68">
        <v>100</v>
      </c>
      <c r="K68">
        <v>5</v>
      </c>
      <c r="L68">
        <v>12</v>
      </c>
      <c r="P68" s="5" t="str">
        <f t="shared" si="10"/>
        <v>10001|100</v>
      </c>
      <c r="Q68" s="5" t="str">
        <f t="shared" si="11"/>
        <v>10002|</v>
      </c>
      <c r="R68" s="5" t="str">
        <f t="shared" si="12"/>
        <v>10003|5</v>
      </c>
      <c r="S68" s="5" t="str">
        <f t="shared" si="13"/>
        <v>10004|12</v>
      </c>
      <c r="T68" s="5" t="str">
        <f t="shared" si="14"/>
        <v>10005|</v>
      </c>
      <c r="U68" s="5" t="str">
        <f t="shared" si="15"/>
        <v>10006|</v>
      </c>
      <c r="W68" t="str">
        <f t="shared" si="16"/>
        <v>10001|100$10002|$10003|5$10004|12$10005|$10006|</v>
      </c>
      <c r="AB68" s="8">
        <v>66</v>
      </c>
      <c r="AC68" s="9">
        <f t="shared" si="17"/>
        <v>217800</v>
      </c>
      <c r="AD68" s="10">
        <f t="shared" ref="AD68:AD131" si="18">AD67+AC68</f>
        <v>4901050</v>
      </c>
      <c r="AE68" s="10">
        <f t="shared" ref="AE68:AE131" si="19">AD68-AD67</f>
        <v>217800</v>
      </c>
    </row>
    <row r="69" ht="17.25" customHeight="1" spans="7:31">
      <c r="H69" s="1">
        <v>67</v>
      </c>
      <c r="I69">
        <v>100</v>
      </c>
      <c r="K69">
        <v>5</v>
      </c>
      <c r="L69">
        <v>12</v>
      </c>
      <c r="P69" s="5" t="str">
        <f t="shared" si="10"/>
        <v>10001|100</v>
      </c>
      <c r="Q69" s="5" t="str">
        <f t="shared" si="11"/>
        <v>10002|</v>
      </c>
      <c r="R69" s="5" t="str">
        <f t="shared" si="12"/>
        <v>10003|5</v>
      </c>
      <c r="S69" s="5" t="str">
        <f t="shared" si="13"/>
        <v>10004|12</v>
      </c>
      <c r="T69" s="5" t="str">
        <f t="shared" si="14"/>
        <v>10005|</v>
      </c>
      <c r="U69" s="5" t="str">
        <f t="shared" si="15"/>
        <v>10006|</v>
      </c>
      <c r="W69" t="str">
        <f t="shared" si="16"/>
        <v>10001|100$10002|$10003|5$10004|12$10005|$10006|</v>
      </c>
      <c r="AB69" s="8">
        <v>67</v>
      </c>
      <c r="AC69" s="9">
        <f t="shared" si="17"/>
        <v>224450</v>
      </c>
      <c r="AD69" s="10">
        <f t="shared" si="18"/>
        <v>5125500</v>
      </c>
      <c r="AE69" s="10">
        <f t="shared" si="19"/>
        <v>224450</v>
      </c>
    </row>
    <row r="70" ht="17.25" customHeight="1" spans="7:31">
      <c r="H70" s="1">
        <v>68</v>
      </c>
      <c r="I70">
        <v>100</v>
      </c>
      <c r="K70">
        <v>5</v>
      </c>
      <c r="L70">
        <v>12</v>
      </c>
      <c r="P70" s="5" t="str">
        <f t="shared" si="10"/>
        <v>10001|100</v>
      </c>
      <c r="Q70" s="5" t="str">
        <f t="shared" si="11"/>
        <v>10002|</v>
      </c>
      <c r="R70" s="5" t="str">
        <f t="shared" si="12"/>
        <v>10003|5</v>
      </c>
      <c r="S70" s="5" t="str">
        <f t="shared" si="13"/>
        <v>10004|12</v>
      </c>
      <c r="T70" s="5" t="str">
        <f t="shared" si="14"/>
        <v>10005|</v>
      </c>
      <c r="U70" s="5" t="str">
        <f t="shared" si="15"/>
        <v>10006|</v>
      </c>
      <c r="W70" t="str">
        <f t="shared" si="16"/>
        <v>10001|100$10002|$10003|5$10004|12$10005|$10006|</v>
      </c>
      <c r="AB70" s="8">
        <v>68</v>
      </c>
      <c r="AC70" s="9">
        <f t="shared" si="17"/>
        <v>231200</v>
      </c>
      <c r="AD70" s="10">
        <f t="shared" si="18"/>
        <v>5356700</v>
      </c>
      <c r="AE70" s="10">
        <f t="shared" si="19"/>
        <v>231200</v>
      </c>
    </row>
    <row r="71" ht="17.25" customHeight="1" spans="7:31">
      <c r="H71" s="1">
        <v>69</v>
      </c>
      <c r="I71">
        <v>100</v>
      </c>
      <c r="K71">
        <v>5</v>
      </c>
      <c r="L71">
        <v>12</v>
      </c>
      <c r="P71" s="5" t="str">
        <f t="shared" si="10"/>
        <v>10001|100</v>
      </c>
      <c r="Q71" s="5" t="str">
        <f t="shared" si="11"/>
        <v>10002|</v>
      </c>
      <c r="R71" s="5" t="str">
        <f t="shared" si="12"/>
        <v>10003|5</v>
      </c>
      <c r="S71" s="5" t="str">
        <f t="shared" si="13"/>
        <v>10004|12</v>
      </c>
      <c r="T71" s="5" t="str">
        <f t="shared" si="14"/>
        <v>10005|</v>
      </c>
      <c r="U71" s="5" t="str">
        <f t="shared" si="15"/>
        <v>10006|</v>
      </c>
      <c r="W71" t="str">
        <f t="shared" si="16"/>
        <v>10001|100$10002|$10003|5$10004|12$10005|$10006|</v>
      </c>
      <c r="AB71" s="8">
        <v>69</v>
      </c>
      <c r="AC71" s="9">
        <f t="shared" si="17"/>
        <v>238050</v>
      </c>
      <c r="AD71" s="10">
        <f t="shared" si="18"/>
        <v>5594750</v>
      </c>
      <c r="AE71" s="10">
        <f t="shared" si="19"/>
        <v>238050</v>
      </c>
    </row>
    <row r="72" ht="17.25" customHeight="1" spans="7:31">
      <c r="H72" s="1">
        <v>70</v>
      </c>
      <c r="I72">
        <v>100</v>
      </c>
      <c r="K72">
        <v>5</v>
      </c>
      <c r="L72">
        <v>12</v>
      </c>
      <c r="P72" s="5" t="str">
        <f t="shared" si="10"/>
        <v>10001|100</v>
      </c>
      <c r="Q72" s="5" t="str">
        <f t="shared" si="11"/>
        <v>10002|</v>
      </c>
      <c r="R72" s="5" t="str">
        <f t="shared" si="12"/>
        <v>10003|5</v>
      </c>
      <c r="S72" s="5" t="str">
        <f t="shared" si="13"/>
        <v>10004|12</v>
      </c>
      <c r="T72" s="5" t="str">
        <f t="shared" si="14"/>
        <v>10005|</v>
      </c>
      <c r="U72" s="5" t="str">
        <f t="shared" si="15"/>
        <v>10006|</v>
      </c>
      <c r="W72" t="str">
        <f t="shared" si="16"/>
        <v>10001|100$10002|$10003|5$10004|12$10005|$10006|</v>
      </c>
      <c r="AB72" s="8">
        <v>70</v>
      </c>
      <c r="AC72" s="9">
        <f t="shared" si="17"/>
        <v>245000</v>
      </c>
      <c r="AD72" s="10">
        <f t="shared" si="18"/>
        <v>5839750</v>
      </c>
      <c r="AE72" s="10">
        <f t="shared" si="19"/>
        <v>245000</v>
      </c>
    </row>
    <row r="73" ht="17.25" customHeight="1" spans="7:31">
      <c r="G73" s="3" t="s">
        <v>207</v>
      </c>
      <c r="H73" s="1">
        <v>71</v>
      </c>
      <c r="I73">
        <v>100</v>
      </c>
      <c r="J73">
        <v>1</v>
      </c>
      <c r="K73">
        <v>5</v>
      </c>
      <c r="L73">
        <v>12</v>
      </c>
      <c r="M73">
        <v>2</v>
      </c>
      <c r="N73">
        <v>3</v>
      </c>
      <c r="P73" s="5" t="str">
        <f t="shared" si="10"/>
        <v>10001|100</v>
      </c>
      <c r="Q73" s="5" t="str">
        <f t="shared" si="11"/>
        <v>10002|1</v>
      </c>
      <c r="R73" s="5" t="str">
        <f t="shared" si="12"/>
        <v>10003|5</v>
      </c>
      <c r="S73" s="5" t="str">
        <f t="shared" si="13"/>
        <v>10004|12</v>
      </c>
      <c r="T73" s="5" t="str">
        <f t="shared" si="14"/>
        <v>10005|2</v>
      </c>
      <c r="U73" s="5" t="str">
        <f t="shared" si="15"/>
        <v>10006|3</v>
      </c>
      <c r="W73" t="str">
        <f t="shared" si="16"/>
        <v>10001|100$10002|1$10003|5$10004|12$10005|2$10006|3</v>
      </c>
      <c r="AB73" s="8">
        <v>71</v>
      </c>
      <c r="AC73" s="9">
        <f t="shared" si="17"/>
        <v>252050</v>
      </c>
      <c r="AD73" s="10">
        <f t="shared" si="18"/>
        <v>6091800</v>
      </c>
      <c r="AE73" s="10">
        <f t="shared" si="19"/>
        <v>252050</v>
      </c>
    </row>
    <row r="74" ht="17.25" customHeight="1" spans="7:31">
      <c r="H74" s="1">
        <v>72</v>
      </c>
      <c r="I74">
        <v>100</v>
      </c>
      <c r="K74">
        <v>5</v>
      </c>
      <c r="L74">
        <v>12</v>
      </c>
      <c r="P74" s="5" t="str">
        <f t="shared" si="10"/>
        <v>10001|100</v>
      </c>
      <c r="Q74" s="5" t="str">
        <f t="shared" si="11"/>
        <v>10002|</v>
      </c>
      <c r="R74" s="5" t="str">
        <f t="shared" si="12"/>
        <v>10003|5</v>
      </c>
      <c r="S74" s="5" t="str">
        <f t="shared" si="13"/>
        <v>10004|12</v>
      </c>
      <c r="T74" s="5" t="str">
        <f t="shared" si="14"/>
        <v>10005|</v>
      </c>
      <c r="U74" s="5" t="str">
        <f t="shared" si="15"/>
        <v>10006|</v>
      </c>
      <c r="W74" t="str">
        <f t="shared" si="16"/>
        <v>10001|100$10002|$10003|5$10004|12$10005|$10006|</v>
      </c>
      <c r="AB74" s="8">
        <v>72</v>
      </c>
      <c r="AC74" s="9">
        <f t="shared" si="17"/>
        <v>259200</v>
      </c>
      <c r="AD74" s="10">
        <f t="shared" si="18"/>
        <v>6351000</v>
      </c>
      <c r="AE74" s="10">
        <f t="shared" si="19"/>
        <v>259200</v>
      </c>
    </row>
    <row r="75" ht="17.25" customHeight="1" spans="7:31">
      <c r="H75" s="1">
        <v>73</v>
      </c>
      <c r="I75">
        <v>100</v>
      </c>
      <c r="K75">
        <v>5</v>
      </c>
      <c r="L75">
        <v>12</v>
      </c>
      <c r="P75" s="5" t="str">
        <f t="shared" si="10"/>
        <v>10001|100</v>
      </c>
      <c r="Q75" s="5" t="str">
        <f t="shared" si="11"/>
        <v>10002|</v>
      </c>
      <c r="R75" s="5" t="str">
        <f t="shared" si="12"/>
        <v>10003|5</v>
      </c>
      <c r="S75" s="5" t="str">
        <f t="shared" si="13"/>
        <v>10004|12</v>
      </c>
      <c r="T75" s="5" t="str">
        <f t="shared" si="14"/>
        <v>10005|</v>
      </c>
      <c r="U75" s="5" t="str">
        <f t="shared" si="15"/>
        <v>10006|</v>
      </c>
      <c r="W75" t="str">
        <f t="shared" si="16"/>
        <v>10001|100$10002|$10003|5$10004|12$10005|$10006|</v>
      </c>
      <c r="AB75" s="8">
        <v>73</v>
      </c>
      <c r="AC75" s="9">
        <f t="shared" si="17"/>
        <v>266450</v>
      </c>
      <c r="AD75" s="10">
        <f t="shared" si="18"/>
        <v>6617450</v>
      </c>
      <c r="AE75" s="10">
        <f t="shared" si="19"/>
        <v>266450</v>
      </c>
    </row>
    <row r="76" ht="17.25" customHeight="1" spans="7:31">
      <c r="H76" s="1">
        <v>74</v>
      </c>
      <c r="I76">
        <v>100</v>
      </c>
      <c r="K76">
        <v>5</v>
      </c>
      <c r="L76">
        <v>12</v>
      </c>
      <c r="P76" s="5" t="str">
        <f t="shared" si="10"/>
        <v>10001|100</v>
      </c>
      <c r="Q76" s="5" t="str">
        <f t="shared" si="11"/>
        <v>10002|</v>
      </c>
      <c r="R76" s="5" t="str">
        <f t="shared" si="12"/>
        <v>10003|5</v>
      </c>
      <c r="S76" s="5" t="str">
        <f t="shared" si="13"/>
        <v>10004|12</v>
      </c>
      <c r="T76" s="5" t="str">
        <f t="shared" si="14"/>
        <v>10005|</v>
      </c>
      <c r="U76" s="5" t="str">
        <f t="shared" si="15"/>
        <v>10006|</v>
      </c>
      <c r="W76" t="str">
        <f t="shared" si="16"/>
        <v>10001|100$10002|$10003|5$10004|12$10005|$10006|</v>
      </c>
      <c r="AB76" s="8">
        <v>74</v>
      </c>
      <c r="AC76" s="9">
        <f t="shared" si="17"/>
        <v>273800</v>
      </c>
      <c r="AD76" s="10">
        <f t="shared" si="18"/>
        <v>6891250</v>
      </c>
      <c r="AE76" s="10">
        <f t="shared" si="19"/>
        <v>273800</v>
      </c>
    </row>
    <row r="77" ht="17.25" customHeight="1" spans="7:31">
      <c r="H77" s="1">
        <v>75</v>
      </c>
      <c r="I77">
        <v>100</v>
      </c>
      <c r="K77">
        <v>5</v>
      </c>
      <c r="L77">
        <v>12</v>
      </c>
      <c r="P77" s="5" t="str">
        <f t="shared" si="10"/>
        <v>10001|100</v>
      </c>
      <c r="Q77" s="5" t="str">
        <f t="shared" si="11"/>
        <v>10002|</v>
      </c>
      <c r="R77" s="5" t="str">
        <f t="shared" si="12"/>
        <v>10003|5</v>
      </c>
      <c r="S77" s="5" t="str">
        <f t="shared" si="13"/>
        <v>10004|12</v>
      </c>
      <c r="T77" s="5" t="str">
        <f t="shared" si="14"/>
        <v>10005|</v>
      </c>
      <c r="U77" s="5" t="str">
        <f t="shared" si="15"/>
        <v>10006|</v>
      </c>
      <c r="W77" t="str">
        <f t="shared" si="16"/>
        <v>10001|100$10002|$10003|5$10004|12$10005|$10006|</v>
      </c>
      <c r="AB77" s="8">
        <v>75</v>
      </c>
      <c r="AC77" s="9">
        <f t="shared" si="17"/>
        <v>281250</v>
      </c>
      <c r="AD77" s="10">
        <f t="shared" si="18"/>
        <v>7172500</v>
      </c>
      <c r="AE77" s="10">
        <f t="shared" si="19"/>
        <v>281250</v>
      </c>
    </row>
    <row r="78" ht="17.25" customHeight="1" spans="7:31">
      <c r="H78" s="1">
        <v>76</v>
      </c>
      <c r="I78">
        <v>100</v>
      </c>
      <c r="K78">
        <v>5</v>
      </c>
      <c r="L78">
        <v>12</v>
      </c>
      <c r="P78" s="5" t="str">
        <f t="shared" si="10"/>
        <v>10001|100</v>
      </c>
      <c r="Q78" s="5" t="str">
        <f t="shared" si="11"/>
        <v>10002|</v>
      </c>
      <c r="R78" s="5" t="str">
        <f t="shared" si="12"/>
        <v>10003|5</v>
      </c>
      <c r="S78" s="5" t="str">
        <f t="shared" si="13"/>
        <v>10004|12</v>
      </c>
      <c r="T78" s="5" t="str">
        <f t="shared" si="14"/>
        <v>10005|</v>
      </c>
      <c r="U78" s="5" t="str">
        <f t="shared" si="15"/>
        <v>10006|</v>
      </c>
      <c r="W78" t="str">
        <f t="shared" si="16"/>
        <v>10001|100$10002|$10003|5$10004|12$10005|$10006|</v>
      </c>
      <c r="AB78" s="8">
        <v>76</v>
      </c>
      <c r="AC78" s="9">
        <f t="shared" si="17"/>
        <v>288800</v>
      </c>
      <c r="AD78" s="10">
        <f t="shared" si="18"/>
        <v>7461300</v>
      </c>
      <c r="AE78" s="10">
        <f t="shared" si="19"/>
        <v>288800</v>
      </c>
    </row>
    <row r="79" ht="17.25" customHeight="1" spans="7:31">
      <c r="H79" s="1">
        <v>77</v>
      </c>
      <c r="I79">
        <v>100</v>
      </c>
      <c r="K79">
        <v>5</v>
      </c>
      <c r="L79">
        <v>12</v>
      </c>
      <c r="P79" s="5" t="str">
        <f t="shared" si="10"/>
        <v>10001|100</v>
      </c>
      <c r="Q79" s="5" t="str">
        <f t="shared" si="11"/>
        <v>10002|</v>
      </c>
      <c r="R79" s="5" t="str">
        <f t="shared" si="12"/>
        <v>10003|5</v>
      </c>
      <c r="S79" s="5" t="str">
        <f t="shared" si="13"/>
        <v>10004|12</v>
      </c>
      <c r="T79" s="5" t="str">
        <f t="shared" si="14"/>
        <v>10005|</v>
      </c>
      <c r="U79" s="5" t="str">
        <f t="shared" si="15"/>
        <v>10006|</v>
      </c>
      <c r="W79" t="str">
        <f t="shared" si="16"/>
        <v>10001|100$10002|$10003|5$10004|12$10005|$10006|</v>
      </c>
      <c r="AB79" s="8">
        <v>77</v>
      </c>
      <c r="AC79" s="9">
        <f t="shared" si="17"/>
        <v>296450</v>
      </c>
      <c r="AD79" s="10">
        <f t="shared" si="18"/>
        <v>7757750</v>
      </c>
      <c r="AE79" s="10">
        <f t="shared" si="19"/>
        <v>296450</v>
      </c>
    </row>
    <row r="80" ht="17.25" customHeight="1" spans="7:31">
      <c r="H80" s="1">
        <v>78</v>
      </c>
      <c r="I80">
        <v>100</v>
      </c>
      <c r="K80">
        <v>5</v>
      </c>
      <c r="L80">
        <v>12</v>
      </c>
      <c r="P80" s="5" t="str">
        <f t="shared" si="10"/>
        <v>10001|100</v>
      </c>
      <c r="Q80" s="5" t="str">
        <f t="shared" si="11"/>
        <v>10002|</v>
      </c>
      <c r="R80" s="5" t="str">
        <f t="shared" si="12"/>
        <v>10003|5</v>
      </c>
      <c r="S80" s="5" t="str">
        <f t="shared" si="13"/>
        <v>10004|12</v>
      </c>
      <c r="T80" s="5" t="str">
        <f t="shared" si="14"/>
        <v>10005|</v>
      </c>
      <c r="U80" s="5" t="str">
        <f t="shared" si="15"/>
        <v>10006|</v>
      </c>
      <c r="W80" t="str">
        <f t="shared" si="16"/>
        <v>10001|100$10002|$10003|5$10004|12$10005|$10006|</v>
      </c>
      <c r="AB80" s="8">
        <v>78</v>
      </c>
      <c r="AC80" s="9">
        <f t="shared" si="17"/>
        <v>304200</v>
      </c>
      <c r="AD80" s="10">
        <f t="shared" si="18"/>
        <v>8061950</v>
      </c>
      <c r="AE80" s="10">
        <f t="shared" si="19"/>
        <v>304200</v>
      </c>
    </row>
    <row r="81" ht="17.25" customHeight="1" spans="6:31">
      <c r="H81" s="1">
        <v>79</v>
      </c>
      <c r="I81">
        <v>100</v>
      </c>
      <c r="K81">
        <v>5</v>
      </c>
      <c r="L81">
        <v>12</v>
      </c>
      <c r="P81" s="5" t="str">
        <f t="shared" si="10"/>
        <v>10001|100</v>
      </c>
      <c r="Q81" s="5" t="str">
        <f t="shared" si="11"/>
        <v>10002|</v>
      </c>
      <c r="R81" s="5" t="str">
        <f t="shared" si="12"/>
        <v>10003|5</v>
      </c>
      <c r="S81" s="5" t="str">
        <f t="shared" si="13"/>
        <v>10004|12</v>
      </c>
      <c r="T81" s="5" t="str">
        <f t="shared" si="14"/>
        <v>10005|</v>
      </c>
      <c r="U81" s="5" t="str">
        <f t="shared" si="15"/>
        <v>10006|</v>
      </c>
      <c r="W81" t="str">
        <f t="shared" si="16"/>
        <v>10001|100$10002|$10003|5$10004|12$10005|$10006|</v>
      </c>
      <c r="AB81" s="8">
        <v>79</v>
      </c>
      <c r="AC81" s="9">
        <f t="shared" si="17"/>
        <v>312050</v>
      </c>
      <c r="AD81" s="10">
        <f t="shared" si="18"/>
        <v>8374000</v>
      </c>
      <c r="AE81" s="10">
        <f t="shared" si="19"/>
        <v>312050</v>
      </c>
    </row>
    <row r="82" ht="17.25" customHeight="1" spans="6:31">
      <c r="H82" s="1">
        <v>80</v>
      </c>
      <c r="I82">
        <v>100</v>
      </c>
      <c r="K82">
        <v>5</v>
      </c>
      <c r="L82">
        <v>12</v>
      </c>
      <c r="P82" s="5" t="str">
        <f t="shared" si="10"/>
        <v>10001|100</v>
      </c>
      <c r="Q82" s="5" t="str">
        <f t="shared" si="11"/>
        <v>10002|</v>
      </c>
      <c r="R82" s="5" t="str">
        <f t="shared" si="12"/>
        <v>10003|5</v>
      </c>
      <c r="S82" s="5" t="str">
        <f t="shared" si="13"/>
        <v>10004|12</v>
      </c>
      <c r="T82" s="5" t="str">
        <f t="shared" si="14"/>
        <v>10005|</v>
      </c>
      <c r="U82" s="5" t="str">
        <f t="shared" si="15"/>
        <v>10006|</v>
      </c>
      <c r="W82" t="str">
        <f t="shared" si="16"/>
        <v>10001|100$10002|$10003|5$10004|12$10005|$10006|</v>
      </c>
      <c r="AB82" s="8">
        <v>80</v>
      </c>
      <c r="AC82" s="9">
        <f t="shared" si="17"/>
        <v>320000</v>
      </c>
      <c r="AD82" s="10">
        <f t="shared" si="18"/>
        <v>8694000</v>
      </c>
      <c r="AE82" s="10">
        <f t="shared" si="19"/>
        <v>320000</v>
      </c>
    </row>
    <row r="83" ht="17.25" customHeight="1" spans="6:31">
      <c r="G83" s="3" t="s">
        <v>208</v>
      </c>
      <c r="H83" s="1">
        <v>81</v>
      </c>
      <c r="I83">
        <v>100</v>
      </c>
      <c r="J83">
        <v>2</v>
      </c>
      <c r="K83">
        <v>5</v>
      </c>
      <c r="L83">
        <v>12</v>
      </c>
      <c r="M83">
        <v>1</v>
      </c>
      <c r="N83">
        <v>2</v>
      </c>
      <c r="P83" s="5" t="str">
        <f t="shared" si="10"/>
        <v>10001|100</v>
      </c>
      <c r="Q83" s="5" t="str">
        <f t="shared" si="11"/>
        <v>10002|2</v>
      </c>
      <c r="R83" s="5" t="str">
        <f t="shared" si="12"/>
        <v>10003|5</v>
      </c>
      <c r="S83" s="5" t="str">
        <f t="shared" si="13"/>
        <v>10004|12</v>
      </c>
      <c r="T83" s="5" t="str">
        <f t="shared" si="14"/>
        <v>10005|1</v>
      </c>
      <c r="U83" s="5" t="str">
        <f t="shared" si="15"/>
        <v>10006|2</v>
      </c>
      <c r="W83" t="str">
        <f t="shared" si="16"/>
        <v>10001|100$10002|2$10003|5$10004|12$10005|1$10006|2</v>
      </c>
      <c r="AB83" s="8">
        <v>81</v>
      </c>
      <c r="AC83" s="9">
        <f t="shared" si="17"/>
        <v>328050</v>
      </c>
      <c r="AD83" s="10">
        <f t="shared" si="18"/>
        <v>9022050</v>
      </c>
      <c r="AE83" s="10">
        <f t="shared" si="19"/>
        <v>328050</v>
      </c>
    </row>
    <row r="84" ht="17.25" customHeight="1" spans="6:31">
      <c r="H84" s="1">
        <v>82</v>
      </c>
      <c r="I84">
        <v>100</v>
      </c>
      <c r="K84">
        <v>5</v>
      </c>
      <c r="L84">
        <v>12</v>
      </c>
      <c r="P84" s="5" t="str">
        <f t="shared" si="10"/>
        <v>10001|100</v>
      </c>
      <c r="Q84" s="5" t="str">
        <f t="shared" si="11"/>
        <v>10002|</v>
      </c>
      <c r="R84" s="5" t="str">
        <f t="shared" si="12"/>
        <v>10003|5</v>
      </c>
      <c r="S84" s="5" t="str">
        <f t="shared" si="13"/>
        <v>10004|12</v>
      </c>
      <c r="T84" s="5" t="str">
        <f t="shared" si="14"/>
        <v>10005|</v>
      </c>
      <c r="U84" s="5" t="str">
        <f t="shared" si="15"/>
        <v>10006|</v>
      </c>
      <c r="W84" t="str">
        <f t="shared" si="16"/>
        <v>10001|100$10002|$10003|5$10004|12$10005|$10006|</v>
      </c>
      <c r="AB84" s="8">
        <v>82</v>
      </c>
      <c r="AC84" s="9">
        <f t="shared" si="17"/>
        <v>336200</v>
      </c>
      <c r="AD84" s="10">
        <f t="shared" si="18"/>
        <v>9358250</v>
      </c>
      <c r="AE84" s="10">
        <f t="shared" si="19"/>
        <v>336200</v>
      </c>
    </row>
    <row r="85" ht="17.25" customHeight="1" spans="6:31">
      <c r="H85" s="1">
        <v>83</v>
      </c>
      <c r="I85">
        <v>100</v>
      </c>
      <c r="K85">
        <v>5</v>
      </c>
      <c r="L85">
        <v>12</v>
      </c>
      <c r="P85" s="5" t="str">
        <f t="shared" si="10"/>
        <v>10001|100</v>
      </c>
      <c r="Q85" s="5" t="str">
        <f t="shared" si="11"/>
        <v>10002|</v>
      </c>
      <c r="R85" s="5" t="str">
        <f t="shared" si="12"/>
        <v>10003|5</v>
      </c>
      <c r="S85" s="5" t="str">
        <f t="shared" si="13"/>
        <v>10004|12</v>
      </c>
      <c r="T85" s="5" t="str">
        <f t="shared" si="14"/>
        <v>10005|</v>
      </c>
      <c r="U85" s="5" t="str">
        <f t="shared" si="15"/>
        <v>10006|</v>
      </c>
      <c r="W85" t="str">
        <f t="shared" si="16"/>
        <v>10001|100$10002|$10003|5$10004|12$10005|$10006|</v>
      </c>
      <c r="AB85" s="8">
        <v>83</v>
      </c>
      <c r="AC85" s="9">
        <f t="shared" si="17"/>
        <v>344450</v>
      </c>
      <c r="AD85" s="10">
        <f t="shared" si="18"/>
        <v>9702700</v>
      </c>
      <c r="AE85" s="10">
        <f t="shared" si="19"/>
        <v>344450</v>
      </c>
    </row>
    <row r="86" ht="17.25" customHeight="1" spans="6:31">
      <c r="H86" s="1">
        <v>84</v>
      </c>
      <c r="I86">
        <v>100</v>
      </c>
      <c r="K86">
        <v>5</v>
      </c>
      <c r="L86">
        <v>12</v>
      </c>
      <c r="P86" s="5" t="str">
        <f t="shared" si="10"/>
        <v>10001|100</v>
      </c>
      <c r="Q86" s="5" t="str">
        <f t="shared" si="11"/>
        <v>10002|</v>
      </c>
      <c r="R86" s="5" t="str">
        <f t="shared" si="12"/>
        <v>10003|5</v>
      </c>
      <c r="S86" s="5" t="str">
        <f t="shared" si="13"/>
        <v>10004|12</v>
      </c>
      <c r="T86" s="5" t="str">
        <f t="shared" si="14"/>
        <v>10005|</v>
      </c>
      <c r="U86" s="5" t="str">
        <f t="shared" si="15"/>
        <v>10006|</v>
      </c>
      <c r="W86" t="str">
        <f t="shared" si="16"/>
        <v>10001|100$10002|$10003|5$10004|12$10005|$10006|</v>
      </c>
      <c r="AB86" s="8">
        <v>84</v>
      </c>
      <c r="AC86" s="9">
        <f t="shared" si="17"/>
        <v>352800</v>
      </c>
      <c r="AD86" s="10">
        <f t="shared" si="18"/>
        <v>10055500</v>
      </c>
      <c r="AE86" s="10">
        <f t="shared" si="19"/>
        <v>352800</v>
      </c>
    </row>
    <row r="87" ht="17.25" customHeight="1" spans="6:31">
      <c r="H87" s="1">
        <v>85</v>
      </c>
      <c r="I87">
        <v>100</v>
      </c>
      <c r="K87">
        <v>5</v>
      </c>
      <c r="L87">
        <v>12</v>
      </c>
      <c r="P87" s="5" t="str">
        <f t="shared" si="10"/>
        <v>10001|100</v>
      </c>
      <c r="Q87" s="5" t="str">
        <f t="shared" si="11"/>
        <v>10002|</v>
      </c>
      <c r="R87" s="5" t="str">
        <f t="shared" si="12"/>
        <v>10003|5</v>
      </c>
      <c r="S87" s="5" t="str">
        <f t="shared" si="13"/>
        <v>10004|12</v>
      </c>
      <c r="T87" s="5" t="str">
        <f t="shared" si="14"/>
        <v>10005|</v>
      </c>
      <c r="U87" s="5" t="str">
        <f t="shared" si="15"/>
        <v>10006|</v>
      </c>
      <c r="W87" t="str">
        <f t="shared" si="16"/>
        <v>10001|100$10002|$10003|5$10004|12$10005|$10006|</v>
      </c>
      <c r="AB87" s="8">
        <v>85</v>
      </c>
      <c r="AC87" s="9">
        <f t="shared" si="17"/>
        <v>361250</v>
      </c>
      <c r="AD87" s="10">
        <f t="shared" si="18"/>
        <v>10416750</v>
      </c>
      <c r="AE87" s="10">
        <f t="shared" si="19"/>
        <v>361250</v>
      </c>
    </row>
    <row r="88" ht="17.25" customHeight="1" spans="6:31">
      <c r="H88" s="1">
        <v>86</v>
      </c>
      <c r="I88">
        <v>100</v>
      </c>
      <c r="K88">
        <v>5</v>
      </c>
      <c r="L88">
        <v>12</v>
      </c>
      <c r="P88" s="5" t="str">
        <f t="shared" si="10"/>
        <v>10001|100</v>
      </c>
      <c r="Q88" s="5" t="str">
        <f t="shared" si="11"/>
        <v>10002|</v>
      </c>
      <c r="R88" s="5" t="str">
        <f t="shared" si="12"/>
        <v>10003|5</v>
      </c>
      <c r="S88" s="5" t="str">
        <f t="shared" si="13"/>
        <v>10004|12</v>
      </c>
      <c r="T88" s="5" t="str">
        <f t="shared" si="14"/>
        <v>10005|</v>
      </c>
      <c r="U88" s="5" t="str">
        <f t="shared" si="15"/>
        <v>10006|</v>
      </c>
      <c r="W88" t="str">
        <f t="shared" si="16"/>
        <v>10001|100$10002|$10003|5$10004|12$10005|$10006|</v>
      </c>
      <c r="AB88" s="8">
        <v>86</v>
      </c>
      <c r="AC88" s="9">
        <f t="shared" si="17"/>
        <v>369800</v>
      </c>
      <c r="AD88" s="10">
        <f t="shared" si="18"/>
        <v>10786550</v>
      </c>
      <c r="AE88" s="10">
        <f t="shared" si="19"/>
        <v>369800</v>
      </c>
    </row>
    <row r="89" ht="17.25" customHeight="1" spans="6:31">
      <c r="H89" s="1">
        <v>87</v>
      </c>
      <c r="I89">
        <v>100</v>
      </c>
      <c r="K89">
        <v>5</v>
      </c>
      <c r="L89">
        <v>12</v>
      </c>
      <c r="P89" s="5" t="str">
        <f t="shared" si="10"/>
        <v>10001|100</v>
      </c>
      <c r="Q89" s="5" t="str">
        <f t="shared" si="11"/>
        <v>10002|</v>
      </c>
      <c r="R89" s="5" t="str">
        <f t="shared" si="12"/>
        <v>10003|5</v>
      </c>
      <c r="S89" s="5" t="str">
        <f t="shared" si="13"/>
        <v>10004|12</v>
      </c>
      <c r="T89" s="5" t="str">
        <f t="shared" si="14"/>
        <v>10005|</v>
      </c>
      <c r="U89" s="5" t="str">
        <f t="shared" si="15"/>
        <v>10006|</v>
      </c>
      <c r="W89" t="str">
        <f t="shared" si="16"/>
        <v>10001|100$10002|$10003|5$10004|12$10005|$10006|</v>
      </c>
      <c r="AB89" s="8">
        <v>87</v>
      </c>
      <c r="AC89" s="9">
        <f t="shared" si="17"/>
        <v>378450</v>
      </c>
      <c r="AD89" s="10">
        <f t="shared" si="18"/>
        <v>11165000</v>
      </c>
      <c r="AE89" s="10">
        <f t="shared" si="19"/>
        <v>378450</v>
      </c>
    </row>
    <row r="90" ht="17.25" customHeight="1" spans="6:31">
      <c r="H90" s="1">
        <v>88</v>
      </c>
      <c r="I90">
        <v>100</v>
      </c>
      <c r="K90">
        <v>5</v>
      </c>
      <c r="L90">
        <v>12</v>
      </c>
      <c r="P90" s="5" t="str">
        <f t="shared" si="10"/>
        <v>10001|100</v>
      </c>
      <c r="Q90" s="5" t="str">
        <f t="shared" si="11"/>
        <v>10002|</v>
      </c>
      <c r="R90" s="5" t="str">
        <f t="shared" si="12"/>
        <v>10003|5</v>
      </c>
      <c r="S90" s="5" t="str">
        <f t="shared" si="13"/>
        <v>10004|12</v>
      </c>
      <c r="T90" s="5" t="str">
        <f t="shared" si="14"/>
        <v>10005|</v>
      </c>
      <c r="U90" s="5" t="str">
        <f t="shared" si="15"/>
        <v>10006|</v>
      </c>
      <c r="W90" t="str">
        <f t="shared" si="16"/>
        <v>10001|100$10002|$10003|5$10004|12$10005|$10006|</v>
      </c>
      <c r="AB90" s="8">
        <v>88</v>
      </c>
      <c r="AC90" s="9">
        <f t="shared" si="17"/>
        <v>387200</v>
      </c>
      <c r="AD90" s="10">
        <f t="shared" si="18"/>
        <v>11552200</v>
      </c>
      <c r="AE90" s="10">
        <f t="shared" si="19"/>
        <v>387200</v>
      </c>
    </row>
    <row r="91" ht="17.25" customHeight="1" spans="6:31">
      <c r="H91" s="1">
        <v>89</v>
      </c>
      <c r="I91">
        <v>100</v>
      </c>
      <c r="K91">
        <v>5</v>
      </c>
      <c r="L91">
        <v>12</v>
      </c>
      <c r="P91" s="5" t="str">
        <f t="shared" si="10"/>
        <v>10001|100</v>
      </c>
      <c r="Q91" s="5" t="str">
        <f t="shared" si="11"/>
        <v>10002|</v>
      </c>
      <c r="R91" s="5" t="str">
        <f t="shared" si="12"/>
        <v>10003|5</v>
      </c>
      <c r="S91" s="5" t="str">
        <f t="shared" si="13"/>
        <v>10004|12</v>
      </c>
      <c r="T91" s="5" t="str">
        <f t="shared" si="14"/>
        <v>10005|</v>
      </c>
      <c r="U91" s="5" t="str">
        <f t="shared" si="15"/>
        <v>10006|</v>
      </c>
      <c r="W91" t="str">
        <f t="shared" si="16"/>
        <v>10001|100$10002|$10003|5$10004|12$10005|$10006|</v>
      </c>
      <c r="AB91" s="8">
        <v>89</v>
      </c>
      <c r="AC91" s="9">
        <f t="shared" si="17"/>
        <v>396050</v>
      </c>
      <c r="AD91" s="10">
        <f t="shared" si="18"/>
        <v>11948250</v>
      </c>
      <c r="AE91" s="10">
        <f t="shared" si="19"/>
        <v>396050</v>
      </c>
    </row>
    <row r="92" ht="17.25" customHeight="1" spans="6:31">
      <c r="H92" s="1">
        <v>90</v>
      </c>
      <c r="I92">
        <v>100</v>
      </c>
      <c r="K92">
        <v>5</v>
      </c>
      <c r="L92">
        <v>12</v>
      </c>
      <c r="P92" s="5" t="str">
        <f t="shared" si="10"/>
        <v>10001|100</v>
      </c>
      <c r="Q92" s="5" t="str">
        <f t="shared" si="11"/>
        <v>10002|</v>
      </c>
      <c r="R92" s="5" t="str">
        <f t="shared" si="12"/>
        <v>10003|5</v>
      </c>
      <c r="S92" s="5" t="str">
        <f t="shared" si="13"/>
        <v>10004|12</v>
      </c>
      <c r="T92" s="5" t="str">
        <f t="shared" si="14"/>
        <v>10005|</v>
      </c>
      <c r="U92" s="5" t="str">
        <f t="shared" si="15"/>
        <v>10006|</v>
      </c>
      <c r="W92" t="str">
        <f t="shared" si="16"/>
        <v>10001|100$10002|$10003|5$10004|12$10005|$10006|</v>
      </c>
      <c r="AB92" s="8">
        <v>90</v>
      </c>
      <c r="AC92" s="9">
        <f t="shared" si="17"/>
        <v>405000</v>
      </c>
      <c r="AD92" s="10">
        <f t="shared" si="18"/>
        <v>12353250</v>
      </c>
      <c r="AE92" s="10">
        <f t="shared" si="19"/>
        <v>405000</v>
      </c>
    </row>
    <row r="93" ht="17.25" customHeight="1" spans="6:31">
      <c r="F93" s="3" t="s">
        <v>209</v>
      </c>
      <c r="G93" s="3" t="s">
        <v>210</v>
      </c>
      <c r="H93" s="1">
        <v>91</v>
      </c>
      <c r="I93">
        <v>100</v>
      </c>
      <c r="J93">
        <v>1</v>
      </c>
      <c r="K93">
        <v>5</v>
      </c>
      <c r="L93">
        <v>12</v>
      </c>
      <c r="M93">
        <v>1</v>
      </c>
      <c r="N93">
        <v>3</v>
      </c>
      <c r="P93" s="5" t="str">
        <f t="shared" si="10"/>
        <v>10001|100</v>
      </c>
      <c r="Q93" s="5" t="str">
        <f t="shared" si="11"/>
        <v>10002|1</v>
      </c>
      <c r="R93" s="5" t="str">
        <f t="shared" si="12"/>
        <v>10003|5</v>
      </c>
      <c r="S93" s="5" t="str">
        <f t="shared" si="13"/>
        <v>10004|12</v>
      </c>
      <c r="T93" s="5" t="str">
        <f t="shared" si="14"/>
        <v>10005|1</v>
      </c>
      <c r="U93" s="5" t="str">
        <f t="shared" si="15"/>
        <v>10006|3</v>
      </c>
      <c r="W93" t="str">
        <f t="shared" si="16"/>
        <v>10001|100$10002|1$10003|5$10004|12$10005|1$10006|3</v>
      </c>
      <c r="AB93" s="8">
        <v>91</v>
      </c>
      <c r="AC93" s="9">
        <f t="shared" si="17"/>
        <v>414050</v>
      </c>
      <c r="AD93" s="10">
        <f t="shared" si="18"/>
        <v>12767300</v>
      </c>
      <c r="AE93" s="10">
        <f t="shared" si="19"/>
        <v>414050</v>
      </c>
    </row>
    <row r="94" ht="17.25" customHeight="1" spans="6:31">
      <c r="H94" s="1">
        <v>92</v>
      </c>
      <c r="I94">
        <v>100</v>
      </c>
      <c r="K94">
        <v>5</v>
      </c>
      <c r="L94">
        <v>12</v>
      </c>
      <c r="P94" s="5" t="str">
        <f t="shared" si="10"/>
        <v>10001|100</v>
      </c>
      <c r="Q94" s="5" t="str">
        <f t="shared" si="11"/>
        <v>10002|</v>
      </c>
      <c r="R94" s="5" t="str">
        <f t="shared" si="12"/>
        <v>10003|5</v>
      </c>
      <c r="S94" s="5" t="str">
        <f t="shared" si="13"/>
        <v>10004|12</v>
      </c>
      <c r="T94" s="5" t="str">
        <f t="shared" si="14"/>
        <v>10005|</v>
      </c>
      <c r="U94" s="5" t="str">
        <f t="shared" si="15"/>
        <v>10006|</v>
      </c>
      <c r="W94" t="str">
        <f t="shared" si="16"/>
        <v>10001|100$10002|$10003|5$10004|12$10005|$10006|</v>
      </c>
      <c r="AB94" s="8">
        <v>92</v>
      </c>
      <c r="AC94" s="9">
        <f t="shared" si="17"/>
        <v>423200</v>
      </c>
      <c r="AD94" s="10">
        <f t="shared" si="18"/>
        <v>13190500</v>
      </c>
      <c r="AE94" s="10">
        <f t="shared" si="19"/>
        <v>423200</v>
      </c>
    </row>
    <row r="95" ht="17.25" customHeight="1" spans="6:31">
      <c r="H95" s="1">
        <v>93</v>
      </c>
      <c r="I95">
        <v>100</v>
      </c>
      <c r="K95">
        <v>5</v>
      </c>
      <c r="L95">
        <v>12</v>
      </c>
      <c r="P95" s="5" t="str">
        <f t="shared" si="10"/>
        <v>10001|100</v>
      </c>
      <c r="Q95" s="5" t="str">
        <f t="shared" si="11"/>
        <v>10002|</v>
      </c>
      <c r="R95" s="5" t="str">
        <f t="shared" si="12"/>
        <v>10003|5</v>
      </c>
      <c r="S95" s="5" t="str">
        <f t="shared" si="13"/>
        <v>10004|12</v>
      </c>
      <c r="T95" s="5" t="str">
        <f t="shared" si="14"/>
        <v>10005|</v>
      </c>
      <c r="U95" s="5" t="str">
        <f t="shared" si="15"/>
        <v>10006|</v>
      </c>
      <c r="W95" t="str">
        <f t="shared" si="16"/>
        <v>10001|100$10002|$10003|5$10004|12$10005|$10006|</v>
      </c>
      <c r="AB95" s="8">
        <v>93</v>
      </c>
      <c r="AC95" s="9">
        <f t="shared" si="17"/>
        <v>432450</v>
      </c>
      <c r="AD95" s="10">
        <f t="shared" si="18"/>
        <v>13622950</v>
      </c>
      <c r="AE95" s="10">
        <f t="shared" si="19"/>
        <v>432450</v>
      </c>
    </row>
    <row r="96" ht="17.25" customHeight="1" spans="6:31">
      <c r="H96" s="1">
        <v>94</v>
      </c>
      <c r="I96">
        <v>100</v>
      </c>
      <c r="K96">
        <v>5</v>
      </c>
      <c r="L96">
        <v>12</v>
      </c>
      <c r="P96" s="5" t="str">
        <f t="shared" si="10"/>
        <v>10001|100</v>
      </c>
      <c r="Q96" s="5" t="str">
        <f t="shared" si="11"/>
        <v>10002|</v>
      </c>
      <c r="R96" s="5" t="str">
        <f t="shared" si="12"/>
        <v>10003|5</v>
      </c>
      <c r="S96" s="5" t="str">
        <f t="shared" si="13"/>
        <v>10004|12</v>
      </c>
      <c r="T96" s="5" t="str">
        <f t="shared" si="14"/>
        <v>10005|</v>
      </c>
      <c r="U96" s="5" t="str">
        <f t="shared" si="15"/>
        <v>10006|</v>
      </c>
      <c r="W96" t="str">
        <f t="shared" si="16"/>
        <v>10001|100$10002|$10003|5$10004|12$10005|$10006|</v>
      </c>
      <c r="AB96" s="8">
        <v>94</v>
      </c>
      <c r="AC96" s="9">
        <f t="shared" si="17"/>
        <v>441800</v>
      </c>
      <c r="AD96" s="10">
        <f t="shared" si="18"/>
        <v>14064750</v>
      </c>
      <c r="AE96" s="10">
        <f t="shared" si="19"/>
        <v>441800</v>
      </c>
    </row>
    <row r="97" ht="17.25" customHeight="1" spans="7:31">
      <c r="H97" s="1">
        <v>95</v>
      </c>
      <c r="I97">
        <v>100</v>
      </c>
      <c r="K97">
        <v>5</v>
      </c>
      <c r="L97">
        <v>12</v>
      </c>
      <c r="P97" s="5" t="str">
        <f t="shared" si="10"/>
        <v>10001|100</v>
      </c>
      <c r="Q97" s="5" t="str">
        <f t="shared" si="11"/>
        <v>10002|</v>
      </c>
      <c r="R97" s="5" t="str">
        <f t="shared" si="12"/>
        <v>10003|5</v>
      </c>
      <c r="S97" s="5" t="str">
        <f t="shared" si="13"/>
        <v>10004|12</v>
      </c>
      <c r="T97" s="5" t="str">
        <f t="shared" si="14"/>
        <v>10005|</v>
      </c>
      <c r="U97" s="5" t="str">
        <f t="shared" si="15"/>
        <v>10006|</v>
      </c>
      <c r="W97" t="str">
        <f t="shared" si="16"/>
        <v>10001|100$10002|$10003|5$10004|12$10005|$10006|</v>
      </c>
      <c r="AB97" s="8">
        <v>95</v>
      </c>
      <c r="AC97" s="9">
        <f t="shared" si="17"/>
        <v>451250</v>
      </c>
      <c r="AD97" s="10">
        <f t="shared" si="18"/>
        <v>14516000</v>
      </c>
      <c r="AE97" s="10">
        <f t="shared" si="19"/>
        <v>451250</v>
      </c>
    </row>
    <row r="98" ht="17.25" customHeight="1" spans="7:31">
      <c r="H98" s="1">
        <v>96</v>
      </c>
      <c r="I98">
        <v>100</v>
      </c>
      <c r="K98">
        <v>5</v>
      </c>
      <c r="L98">
        <v>12</v>
      </c>
      <c r="P98" s="5" t="str">
        <f t="shared" si="10"/>
        <v>10001|100</v>
      </c>
      <c r="Q98" s="5" t="str">
        <f t="shared" si="11"/>
        <v>10002|</v>
      </c>
      <c r="R98" s="5" t="str">
        <f t="shared" si="12"/>
        <v>10003|5</v>
      </c>
      <c r="S98" s="5" t="str">
        <f t="shared" si="13"/>
        <v>10004|12</v>
      </c>
      <c r="T98" s="5" t="str">
        <f t="shared" si="14"/>
        <v>10005|</v>
      </c>
      <c r="U98" s="5" t="str">
        <f t="shared" si="15"/>
        <v>10006|</v>
      </c>
      <c r="W98" t="str">
        <f t="shared" si="16"/>
        <v>10001|100$10002|$10003|5$10004|12$10005|$10006|</v>
      </c>
      <c r="AB98" s="8">
        <v>96</v>
      </c>
      <c r="AC98" s="9">
        <f t="shared" si="17"/>
        <v>460800</v>
      </c>
      <c r="AD98" s="10">
        <f t="shared" si="18"/>
        <v>14976800</v>
      </c>
      <c r="AE98" s="10">
        <f t="shared" si="19"/>
        <v>460800</v>
      </c>
    </row>
    <row r="99" ht="17.25" customHeight="1" spans="7:31">
      <c r="H99" s="1">
        <v>97</v>
      </c>
      <c r="I99">
        <v>100</v>
      </c>
      <c r="K99">
        <v>5</v>
      </c>
      <c r="L99">
        <v>12</v>
      </c>
      <c r="P99" s="5" t="str">
        <f t="shared" si="10"/>
        <v>10001|100</v>
      </c>
      <c r="Q99" s="5" t="str">
        <f t="shared" si="11"/>
        <v>10002|</v>
      </c>
      <c r="R99" s="5" t="str">
        <f t="shared" si="12"/>
        <v>10003|5</v>
      </c>
      <c r="S99" s="5" t="str">
        <f t="shared" si="13"/>
        <v>10004|12</v>
      </c>
      <c r="T99" s="5" t="str">
        <f t="shared" si="14"/>
        <v>10005|</v>
      </c>
      <c r="U99" s="5" t="str">
        <f t="shared" si="15"/>
        <v>10006|</v>
      </c>
      <c r="W99" t="str">
        <f t="shared" si="16"/>
        <v>10001|100$10002|$10003|5$10004|12$10005|$10006|</v>
      </c>
      <c r="AB99" s="8">
        <v>97</v>
      </c>
      <c r="AC99" s="9">
        <f t="shared" si="17"/>
        <v>470450</v>
      </c>
      <c r="AD99" s="10">
        <f t="shared" si="18"/>
        <v>15447250</v>
      </c>
      <c r="AE99" s="10">
        <f t="shared" si="19"/>
        <v>470450</v>
      </c>
    </row>
    <row r="100" ht="17.25" customHeight="1" spans="7:31">
      <c r="H100" s="1">
        <v>98</v>
      </c>
      <c r="I100">
        <v>100</v>
      </c>
      <c r="K100">
        <v>5</v>
      </c>
      <c r="L100">
        <v>12</v>
      </c>
      <c r="P100" s="5" t="str">
        <f t="shared" si="10"/>
        <v>10001|100</v>
      </c>
      <c r="Q100" s="5" t="str">
        <f t="shared" si="11"/>
        <v>10002|</v>
      </c>
      <c r="R100" s="5" t="str">
        <f t="shared" si="12"/>
        <v>10003|5</v>
      </c>
      <c r="S100" s="5" t="str">
        <f t="shared" si="13"/>
        <v>10004|12</v>
      </c>
      <c r="T100" s="5" t="str">
        <f t="shared" si="14"/>
        <v>10005|</v>
      </c>
      <c r="U100" s="5" t="str">
        <f t="shared" si="15"/>
        <v>10006|</v>
      </c>
      <c r="W100" t="str">
        <f t="shared" si="16"/>
        <v>10001|100$10002|$10003|5$10004|12$10005|$10006|</v>
      </c>
      <c r="AB100" s="8">
        <v>98</v>
      </c>
      <c r="AC100" s="9">
        <f t="shared" si="17"/>
        <v>480200</v>
      </c>
      <c r="AD100" s="10">
        <f t="shared" si="18"/>
        <v>15927450</v>
      </c>
      <c r="AE100" s="10">
        <f t="shared" si="19"/>
        <v>480200</v>
      </c>
    </row>
    <row r="101" ht="17.25" customHeight="1" spans="7:31">
      <c r="H101" s="1">
        <v>99</v>
      </c>
      <c r="I101">
        <v>100</v>
      </c>
      <c r="K101">
        <v>5</v>
      </c>
      <c r="L101">
        <v>12</v>
      </c>
      <c r="P101" s="5" t="str">
        <f t="shared" si="10"/>
        <v>10001|100</v>
      </c>
      <c r="Q101" s="5" t="str">
        <f t="shared" si="11"/>
        <v>10002|</v>
      </c>
      <c r="R101" s="5" t="str">
        <f t="shared" si="12"/>
        <v>10003|5</v>
      </c>
      <c r="S101" s="5" t="str">
        <f t="shared" si="13"/>
        <v>10004|12</v>
      </c>
      <c r="T101" s="5" t="str">
        <f t="shared" si="14"/>
        <v>10005|</v>
      </c>
      <c r="U101" s="5" t="str">
        <f t="shared" si="15"/>
        <v>10006|</v>
      </c>
      <c r="W101" t="str">
        <f t="shared" si="16"/>
        <v>10001|100$10002|$10003|5$10004|12$10005|$10006|</v>
      </c>
      <c r="AB101" s="8">
        <v>99</v>
      </c>
      <c r="AC101" s="9">
        <f t="shared" si="17"/>
        <v>490050</v>
      </c>
      <c r="AD101" s="10">
        <f t="shared" si="18"/>
        <v>16417500</v>
      </c>
      <c r="AE101" s="10">
        <f t="shared" si="19"/>
        <v>490050</v>
      </c>
    </row>
    <row r="102" ht="17.25" customHeight="1" spans="7:31">
      <c r="H102" s="1">
        <v>100</v>
      </c>
      <c r="I102">
        <v>100</v>
      </c>
      <c r="K102">
        <v>5</v>
      </c>
      <c r="L102">
        <v>12</v>
      </c>
      <c r="P102" s="5" t="str">
        <f t="shared" si="10"/>
        <v>10001|100</v>
      </c>
      <c r="Q102" s="5" t="str">
        <f t="shared" si="11"/>
        <v>10002|</v>
      </c>
      <c r="R102" s="5" t="str">
        <f t="shared" si="12"/>
        <v>10003|5</v>
      </c>
      <c r="S102" s="5" t="str">
        <f t="shared" si="13"/>
        <v>10004|12</v>
      </c>
      <c r="T102" s="5" t="str">
        <f t="shared" si="14"/>
        <v>10005|</v>
      </c>
      <c r="U102" s="5" t="str">
        <f t="shared" si="15"/>
        <v>10006|</v>
      </c>
      <c r="W102" t="str">
        <f t="shared" si="16"/>
        <v>10001|100$10002|$10003|5$10004|12$10005|$10006|</v>
      </c>
      <c r="AB102" s="8">
        <v>100</v>
      </c>
      <c r="AC102" s="9">
        <f t="shared" si="17"/>
        <v>500000</v>
      </c>
      <c r="AD102" s="10">
        <f t="shared" si="18"/>
        <v>16917500</v>
      </c>
      <c r="AE102" s="10">
        <f t="shared" si="19"/>
        <v>500000</v>
      </c>
    </row>
    <row r="103" ht="17.25" customHeight="1" spans="7:31">
      <c r="G103" s="3" t="s">
        <v>211</v>
      </c>
      <c r="H103" s="1">
        <v>101</v>
      </c>
      <c r="I103">
        <v>100</v>
      </c>
      <c r="J103">
        <v>2</v>
      </c>
      <c r="K103">
        <v>5</v>
      </c>
      <c r="L103">
        <v>12</v>
      </c>
      <c r="M103">
        <v>1</v>
      </c>
      <c r="N103">
        <v>2</v>
      </c>
      <c r="P103" s="5" t="str">
        <f t="shared" si="10"/>
        <v>10001|100</v>
      </c>
      <c r="Q103" s="5" t="str">
        <f t="shared" si="11"/>
        <v>10002|2</v>
      </c>
      <c r="R103" s="5" t="str">
        <f t="shared" si="12"/>
        <v>10003|5</v>
      </c>
      <c r="S103" s="5" t="str">
        <f t="shared" si="13"/>
        <v>10004|12</v>
      </c>
      <c r="T103" s="5" t="str">
        <f t="shared" si="14"/>
        <v>10005|1</v>
      </c>
      <c r="U103" s="5" t="str">
        <f t="shared" si="15"/>
        <v>10006|2</v>
      </c>
      <c r="W103" t="str">
        <f t="shared" si="16"/>
        <v>10001|100$10002|2$10003|5$10004|12$10005|1$10006|2</v>
      </c>
      <c r="AB103" s="8">
        <v>101</v>
      </c>
      <c r="AC103" s="9">
        <f t="shared" si="17"/>
        <v>510050</v>
      </c>
      <c r="AD103" s="10">
        <f t="shared" si="18"/>
        <v>17427550</v>
      </c>
      <c r="AE103" s="10">
        <f t="shared" si="19"/>
        <v>510050</v>
      </c>
    </row>
    <row r="104" ht="17.25" customHeight="1" spans="7:31">
      <c r="H104" s="1">
        <v>102</v>
      </c>
      <c r="I104">
        <v>100</v>
      </c>
      <c r="K104">
        <v>5</v>
      </c>
      <c r="L104">
        <v>12</v>
      </c>
      <c r="P104" s="5" t="str">
        <f t="shared" si="10"/>
        <v>10001|100</v>
      </c>
      <c r="Q104" s="5" t="str">
        <f t="shared" si="11"/>
        <v>10002|</v>
      </c>
      <c r="R104" s="5" t="str">
        <f t="shared" si="12"/>
        <v>10003|5</v>
      </c>
      <c r="S104" s="5" t="str">
        <f t="shared" si="13"/>
        <v>10004|12</v>
      </c>
      <c r="T104" s="5" t="str">
        <f t="shared" si="14"/>
        <v>10005|</v>
      </c>
      <c r="U104" s="5" t="str">
        <f t="shared" si="15"/>
        <v>10006|</v>
      </c>
      <c r="W104" t="str">
        <f t="shared" si="16"/>
        <v>10001|100$10002|$10003|5$10004|12$10005|$10006|</v>
      </c>
      <c r="AB104" s="8">
        <v>102</v>
      </c>
      <c r="AC104" s="9">
        <f t="shared" si="17"/>
        <v>520200</v>
      </c>
      <c r="AD104" s="10">
        <f t="shared" si="18"/>
        <v>17947750</v>
      </c>
      <c r="AE104" s="10">
        <f t="shared" si="19"/>
        <v>520200</v>
      </c>
    </row>
    <row r="105" ht="17.25" customHeight="1" spans="7:31">
      <c r="H105" s="1">
        <v>103</v>
      </c>
      <c r="I105">
        <v>100</v>
      </c>
      <c r="K105">
        <v>5</v>
      </c>
      <c r="L105">
        <v>12</v>
      </c>
      <c r="P105" s="5" t="str">
        <f t="shared" si="10"/>
        <v>10001|100</v>
      </c>
      <c r="Q105" s="5" t="str">
        <f t="shared" si="11"/>
        <v>10002|</v>
      </c>
      <c r="R105" s="5" t="str">
        <f t="shared" si="12"/>
        <v>10003|5</v>
      </c>
      <c r="S105" s="5" t="str">
        <f t="shared" si="13"/>
        <v>10004|12</v>
      </c>
      <c r="T105" s="5" t="str">
        <f t="shared" si="14"/>
        <v>10005|</v>
      </c>
      <c r="U105" s="5" t="str">
        <f t="shared" si="15"/>
        <v>10006|</v>
      </c>
      <c r="W105" t="str">
        <f t="shared" si="16"/>
        <v>10001|100$10002|$10003|5$10004|12$10005|$10006|</v>
      </c>
      <c r="AB105" s="8">
        <v>103</v>
      </c>
      <c r="AC105" s="9">
        <f t="shared" si="17"/>
        <v>530450</v>
      </c>
      <c r="AD105" s="10">
        <f t="shared" si="18"/>
        <v>18478200</v>
      </c>
      <c r="AE105" s="10">
        <f t="shared" si="19"/>
        <v>530450</v>
      </c>
    </row>
    <row r="106" ht="17.25" customHeight="1" spans="7:31">
      <c r="H106" s="1">
        <v>104</v>
      </c>
      <c r="I106">
        <v>100</v>
      </c>
      <c r="K106">
        <v>5</v>
      </c>
      <c r="L106">
        <v>12</v>
      </c>
      <c r="P106" s="5" t="str">
        <f t="shared" si="10"/>
        <v>10001|100</v>
      </c>
      <c r="Q106" s="5" t="str">
        <f t="shared" si="11"/>
        <v>10002|</v>
      </c>
      <c r="R106" s="5" t="str">
        <f t="shared" si="12"/>
        <v>10003|5</v>
      </c>
      <c r="S106" s="5" t="str">
        <f t="shared" si="13"/>
        <v>10004|12</v>
      </c>
      <c r="T106" s="5" t="str">
        <f t="shared" si="14"/>
        <v>10005|</v>
      </c>
      <c r="U106" s="5" t="str">
        <f t="shared" si="15"/>
        <v>10006|</v>
      </c>
      <c r="W106" t="str">
        <f t="shared" si="16"/>
        <v>10001|100$10002|$10003|5$10004|12$10005|$10006|</v>
      </c>
      <c r="AB106" s="8">
        <v>104</v>
      </c>
      <c r="AC106" s="9">
        <f t="shared" si="17"/>
        <v>540800</v>
      </c>
      <c r="AD106" s="10">
        <f t="shared" si="18"/>
        <v>19019000</v>
      </c>
      <c r="AE106" s="10">
        <f t="shared" si="19"/>
        <v>540800</v>
      </c>
    </row>
    <row r="107" ht="17.25" customHeight="1" spans="7:31">
      <c r="H107" s="1">
        <v>105</v>
      </c>
      <c r="I107">
        <v>100</v>
      </c>
      <c r="K107">
        <v>5</v>
      </c>
      <c r="L107">
        <v>12</v>
      </c>
      <c r="P107" s="5" t="str">
        <f t="shared" si="10"/>
        <v>10001|100</v>
      </c>
      <c r="Q107" s="5" t="str">
        <f t="shared" si="11"/>
        <v>10002|</v>
      </c>
      <c r="R107" s="5" t="str">
        <f t="shared" si="12"/>
        <v>10003|5</v>
      </c>
      <c r="S107" s="5" t="str">
        <f t="shared" si="13"/>
        <v>10004|12</v>
      </c>
      <c r="T107" s="5" t="str">
        <f t="shared" si="14"/>
        <v>10005|</v>
      </c>
      <c r="U107" s="5" t="str">
        <f t="shared" si="15"/>
        <v>10006|</v>
      </c>
      <c r="W107" t="str">
        <f t="shared" si="16"/>
        <v>10001|100$10002|$10003|5$10004|12$10005|$10006|</v>
      </c>
      <c r="AB107" s="8">
        <v>105</v>
      </c>
      <c r="AC107" s="9">
        <f t="shared" si="17"/>
        <v>551250</v>
      </c>
      <c r="AD107" s="10">
        <f t="shared" si="18"/>
        <v>19570250</v>
      </c>
      <c r="AE107" s="10">
        <f t="shared" si="19"/>
        <v>551250</v>
      </c>
    </row>
    <row r="108" ht="17.25" customHeight="1" spans="7:31">
      <c r="H108" s="1">
        <v>106</v>
      </c>
      <c r="I108">
        <v>100</v>
      </c>
      <c r="K108">
        <v>5</v>
      </c>
      <c r="L108">
        <v>12</v>
      </c>
      <c r="P108" s="5" t="str">
        <f t="shared" si="10"/>
        <v>10001|100</v>
      </c>
      <c r="Q108" s="5" t="str">
        <f t="shared" si="11"/>
        <v>10002|</v>
      </c>
      <c r="R108" s="5" t="str">
        <f t="shared" si="12"/>
        <v>10003|5</v>
      </c>
      <c r="S108" s="5" t="str">
        <f t="shared" si="13"/>
        <v>10004|12</v>
      </c>
      <c r="T108" s="5" t="str">
        <f t="shared" si="14"/>
        <v>10005|</v>
      </c>
      <c r="U108" s="5" t="str">
        <f t="shared" si="15"/>
        <v>10006|</v>
      </c>
      <c r="W108" t="str">
        <f t="shared" si="16"/>
        <v>10001|100$10002|$10003|5$10004|12$10005|$10006|</v>
      </c>
      <c r="AB108" s="8">
        <v>106</v>
      </c>
      <c r="AC108" s="9">
        <f t="shared" si="17"/>
        <v>561800</v>
      </c>
      <c r="AD108" s="10">
        <f t="shared" si="18"/>
        <v>20132050</v>
      </c>
      <c r="AE108" s="10">
        <f t="shared" si="19"/>
        <v>561800</v>
      </c>
    </row>
    <row r="109" ht="17.25" customHeight="1" spans="7:31">
      <c r="H109" s="1">
        <v>107</v>
      </c>
      <c r="I109">
        <v>100</v>
      </c>
      <c r="K109">
        <v>5</v>
      </c>
      <c r="L109">
        <v>12</v>
      </c>
      <c r="P109" s="5" t="str">
        <f t="shared" si="10"/>
        <v>10001|100</v>
      </c>
      <c r="Q109" s="5" t="str">
        <f t="shared" si="11"/>
        <v>10002|</v>
      </c>
      <c r="R109" s="5" t="str">
        <f t="shared" si="12"/>
        <v>10003|5</v>
      </c>
      <c r="S109" s="5" t="str">
        <f t="shared" si="13"/>
        <v>10004|12</v>
      </c>
      <c r="T109" s="5" t="str">
        <f t="shared" si="14"/>
        <v>10005|</v>
      </c>
      <c r="U109" s="5" t="str">
        <f t="shared" si="15"/>
        <v>10006|</v>
      </c>
      <c r="W109" t="str">
        <f t="shared" si="16"/>
        <v>10001|100$10002|$10003|5$10004|12$10005|$10006|</v>
      </c>
      <c r="AB109" s="8">
        <v>107</v>
      </c>
      <c r="AC109" s="9">
        <f t="shared" si="17"/>
        <v>572450</v>
      </c>
      <c r="AD109" s="10">
        <f t="shared" si="18"/>
        <v>20704500</v>
      </c>
      <c r="AE109" s="10">
        <f t="shared" si="19"/>
        <v>572450</v>
      </c>
    </row>
    <row r="110" ht="17.25" customHeight="1" spans="7:31">
      <c r="H110" s="1">
        <v>108</v>
      </c>
      <c r="I110">
        <v>100</v>
      </c>
      <c r="K110">
        <v>5</v>
      </c>
      <c r="L110">
        <v>12</v>
      </c>
      <c r="P110" s="5" t="str">
        <f t="shared" si="10"/>
        <v>10001|100</v>
      </c>
      <c r="Q110" s="5" t="str">
        <f t="shared" si="11"/>
        <v>10002|</v>
      </c>
      <c r="R110" s="5" t="str">
        <f t="shared" si="12"/>
        <v>10003|5</v>
      </c>
      <c r="S110" s="5" t="str">
        <f t="shared" si="13"/>
        <v>10004|12</v>
      </c>
      <c r="T110" s="5" t="str">
        <f t="shared" si="14"/>
        <v>10005|</v>
      </c>
      <c r="U110" s="5" t="str">
        <f t="shared" si="15"/>
        <v>10006|</v>
      </c>
      <c r="W110" t="str">
        <f t="shared" si="16"/>
        <v>10001|100$10002|$10003|5$10004|12$10005|$10006|</v>
      </c>
      <c r="AB110" s="8">
        <v>108</v>
      </c>
      <c r="AC110" s="9">
        <f t="shared" si="17"/>
        <v>583200</v>
      </c>
      <c r="AD110" s="10">
        <f t="shared" si="18"/>
        <v>21287700</v>
      </c>
      <c r="AE110" s="10">
        <f t="shared" si="19"/>
        <v>583200</v>
      </c>
    </row>
    <row r="111" ht="17.25" customHeight="1" spans="7:31">
      <c r="H111" s="1">
        <v>109</v>
      </c>
      <c r="I111">
        <v>100</v>
      </c>
      <c r="K111">
        <v>5</v>
      </c>
      <c r="L111">
        <v>12</v>
      </c>
      <c r="P111" s="5" t="str">
        <f t="shared" si="10"/>
        <v>10001|100</v>
      </c>
      <c r="Q111" s="5" t="str">
        <f t="shared" si="11"/>
        <v>10002|</v>
      </c>
      <c r="R111" s="5" t="str">
        <f t="shared" si="12"/>
        <v>10003|5</v>
      </c>
      <c r="S111" s="5" t="str">
        <f t="shared" si="13"/>
        <v>10004|12</v>
      </c>
      <c r="T111" s="5" t="str">
        <f t="shared" si="14"/>
        <v>10005|</v>
      </c>
      <c r="U111" s="5" t="str">
        <f t="shared" si="15"/>
        <v>10006|</v>
      </c>
      <c r="W111" t="str">
        <f t="shared" si="16"/>
        <v>10001|100$10002|$10003|5$10004|12$10005|$10006|</v>
      </c>
      <c r="AB111" s="8">
        <v>109</v>
      </c>
      <c r="AC111" s="9">
        <f t="shared" si="17"/>
        <v>594050</v>
      </c>
      <c r="AD111" s="10">
        <f t="shared" si="18"/>
        <v>21881750</v>
      </c>
      <c r="AE111" s="10">
        <f t="shared" si="19"/>
        <v>594050</v>
      </c>
    </row>
    <row r="112" ht="17.25" customHeight="1" spans="7:31">
      <c r="H112" s="1">
        <v>110</v>
      </c>
      <c r="I112">
        <v>100</v>
      </c>
      <c r="K112">
        <v>5</v>
      </c>
      <c r="L112">
        <v>12</v>
      </c>
      <c r="P112" s="5" t="str">
        <f t="shared" si="10"/>
        <v>10001|100</v>
      </c>
      <c r="Q112" s="5" t="str">
        <f t="shared" si="11"/>
        <v>10002|</v>
      </c>
      <c r="R112" s="5" t="str">
        <f t="shared" si="12"/>
        <v>10003|5</v>
      </c>
      <c r="S112" s="5" t="str">
        <f t="shared" si="13"/>
        <v>10004|12</v>
      </c>
      <c r="T112" s="5" t="str">
        <f t="shared" si="14"/>
        <v>10005|</v>
      </c>
      <c r="U112" s="5" t="str">
        <f t="shared" si="15"/>
        <v>10006|</v>
      </c>
      <c r="W112" t="str">
        <f t="shared" si="16"/>
        <v>10001|100$10002|$10003|5$10004|12$10005|$10006|</v>
      </c>
      <c r="AB112" s="8">
        <v>110</v>
      </c>
      <c r="AC112" s="9">
        <f t="shared" si="17"/>
        <v>605000</v>
      </c>
      <c r="AD112" s="10">
        <f t="shared" si="18"/>
        <v>22486750</v>
      </c>
      <c r="AE112" s="10">
        <f t="shared" si="19"/>
        <v>605000</v>
      </c>
    </row>
    <row r="113" ht="17.25" customHeight="1" spans="4:31">
      <c r="G113" s="3" t="s">
        <v>212</v>
      </c>
      <c r="H113" s="1">
        <v>111</v>
      </c>
      <c r="I113">
        <v>100</v>
      </c>
      <c r="J113">
        <v>2</v>
      </c>
      <c r="K113">
        <v>5</v>
      </c>
      <c r="L113">
        <v>12</v>
      </c>
      <c r="M113">
        <v>2</v>
      </c>
      <c r="N113">
        <v>3</v>
      </c>
      <c r="P113" s="5" t="str">
        <f t="shared" si="10"/>
        <v>10001|100</v>
      </c>
      <c r="Q113" s="5" t="str">
        <f t="shared" si="11"/>
        <v>10002|2</v>
      </c>
      <c r="R113" s="5" t="str">
        <f t="shared" si="12"/>
        <v>10003|5</v>
      </c>
      <c r="S113" s="5" t="str">
        <f t="shared" si="13"/>
        <v>10004|12</v>
      </c>
      <c r="T113" s="5" t="str">
        <f t="shared" si="14"/>
        <v>10005|2</v>
      </c>
      <c r="U113" s="5" t="str">
        <f t="shared" si="15"/>
        <v>10006|3</v>
      </c>
      <c r="W113" t="str">
        <f t="shared" si="16"/>
        <v>10001|100$10002|2$10003|5$10004|12$10005|2$10006|3</v>
      </c>
      <c r="AB113" s="8">
        <v>111</v>
      </c>
      <c r="AC113" s="9">
        <f t="shared" si="17"/>
        <v>616050</v>
      </c>
      <c r="AD113" s="10">
        <f t="shared" si="18"/>
        <v>23102800</v>
      </c>
      <c r="AE113" s="10">
        <f t="shared" si="19"/>
        <v>616050</v>
      </c>
    </row>
    <row r="114" ht="17.25" customHeight="1" spans="4:31">
      <c r="H114" s="1">
        <v>112</v>
      </c>
      <c r="I114">
        <v>100</v>
      </c>
      <c r="K114">
        <v>5</v>
      </c>
      <c r="L114">
        <v>12</v>
      </c>
      <c r="P114" s="5" t="str">
        <f t="shared" si="10"/>
        <v>10001|100</v>
      </c>
      <c r="Q114" s="5" t="str">
        <f t="shared" si="11"/>
        <v>10002|</v>
      </c>
      <c r="R114" s="5" t="str">
        <f t="shared" si="12"/>
        <v>10003|5</v>
      </c>
      <c r="S114" s="5" t="str">
        <f t="shared" si="13"/>
        <v>10004|12</v>
      </c>
      <c r="T114" s="5" t="str">
        <f t="shared" si="14"/>
        <v>10005|</v>
      </c>
      <c r="U114" s="5" t="str">
        <f t="shared" si="15"/>
        <v>10006|</v>
      </c>
      <c r="W114" t="str">
        <f t="shared" si="16"/>
        <v>10001|100$10002|$10003|5$10004|12$10005|$10006|</v>
      </c>
      <c r="AB114" s="8">
        <v>112</v>
      </c>
      <c r="AC114" s="9">
        <f t="shared" si="17"/>
        <v>627200</v>
      </c>
      <c r="AD114" s="10">
        <f t="shared" si="18"/>
        <v>23730000</v>
      </c>
      <c r="AE114" s="10">
        <f t="shared" si="19"/>
        <v>627200</v>
      </c>
    </row>
    <row r="115" ht="17.25" customHeight="1" spans="4:31">
      <c r="H115" s="1">
        <v>113</v>
      </c>
      <c r="I115">
        <v>100</v>
      </c>
      <c r="K115">
        <v>5</v>
      </c>
      <c r="L115">
        <v>12</v>
      </c>
      <c r="P115" s="5" t="str">
        <f t="shared" si="10"/>
        <v>10001|100</v>
      </c>
      <c r="Q115" s="5" t="str">
        <f t="shared" si="11"/>
        <v>10002|</v>
      </c>
      <c r="R115" s="5" t="str">
        <f t="shared" si="12"/>
        <v>10003|5</v>
      </c>
      <c r="S115" s="5" t="str">
        <f t="shared" si="13"/>
        <v>10004|12</v>
      </c>
      <c r="T115" s="5" t="str">
        <f t="shared" si="14"/>
        <v>10005|</v>
      </c>
      <c r="U115" s="5" t="str">
        <f t="shared" si="15"/>
        <v>10006|</v>
      </c>
      <c r="W115" t="str">
        <f t="shared" si="16"/>
        <v>10001|100$10002|$10003|5$10004|12$10005|$10006|</v>
      </c>
      <c r="AB115" s="8">
        <v>113</v>
      </c>
      <c r="AC115" s="9">
        <f t="shared" si="17"/>
        <v>638450</v>
      </c>
      <c r="AD115" s="10">
        <f t="shared" si="18"/>
        <v>24368450</v>
      </c>
      <c r="AE115" s="10">
        <f t="shared" si="19"/>
        <v>638450</v>
      </c>
    </row>
    <row r="116" ht="17.25" customHeight="1" spans="4:31">
      <c r="H116" s="1">
        <v>114</v>
      </c>
      <c r="I116">
        <v>100</v>
      </c>
      <c r="K116">
        <v>5</v>
      </c>
      <c r="L116">
        <v>12</v>
      </c>
      <c r="P116" s="5" t="str">
        <f t="shared" si="10"/>
        <v>10001|100</v>
      </c>
      <c r="Q116" s="5" t="str">
        <f t="shared" si="11"/>
        <v>10002|</v>
      </c>
      <c r="R116" s="5" t="str">
        <f t="shared" si="12"/>
        <v>10003|5</v>
      </c>
      <c r="S116" s="5" t="str">
        <f t="shared" si="13"/>
        <v>10004|12</v>
      </c>
      <c r="T116" s="5" t="str">
        <f t="shared" si="14"/>
        <v>10005|</v>
      </c>
      <c r="U116" s="5" t="str">
        <f t="shared" si="15"/>
        <v>10006|</v>
      </c>
      <c r="W116" t="str">
        <f t="shared" si="16"/>
        <v>10001|100$10002|$10003|5$10004|12$10005|$10006|</v>
      </c>
      <c r="AB116" s="8">
        <v>114</v>
      </c>
      <c r="AC116" s="9">
        <f t="shared" si="17"/>
        <v>649800</v>
      </c>
      <c r="AD116" s="10">
        <f t="shared" si="18"/>
        <v>25018250</v>
      </c>
      <c r="AE116" s="10">
        <f t="shared" si="19"/>
        <v>649800</v>
      </c>
    </row>
    <row r="117" ht="17.25" customHeight="1" spans="4:31">
      <c r="H117" s="1">
        <v>115</v>
      </c>
      <c r="I117">
        <v>100</v>
      </c>
      <c r="K117">
        <v>5</v>
      </c>
      <c r="L117">
        <v>12</v>
      </c>
      <c r="P117" s="5" t="str">
        <f t="shared" si="10"/>
        <v>10001|100</v>
      </c>
      <c r="Q117" s="5" t="str">
        <f t="shared" si="11"/>
        <v>10002|</v>
      </c>
      <c r="R117" s="5" t="str">
        <f t="shared" si="12"/>
        <v>10003|5</v>
      </c>
      <c r="S117" s="5" t="str">
        <f t="shared" si="13"/>
        <v>10004|12</v>
      </c>
      <c r="T117" s="5" t="str">
        <f t="shared" si="14"/>
        <v>10005|</v>
      </c>
      <c r="U117" s="5" t="str">
        <f t="shared" si="15"/>
        <v>10006|</v>
      </c>
      <c r="W117" t="str">
        <f t="shared" si="16"/>
        <v>10001|100$10002|$10003|5$10004|12$10005|$10006|</v>
      </c>
      <c r="AB117" s="8">
        <v>115</v>
      </c>
      <c r="AC117" s="9">
        <f t="shared" si="17"/>
        <v>661250</v>
      </c>
      <c r="AD117" s="10">
        <f t="shared" si="18"/>
        <v>25679500</v>
      </c>
      <c r="AE117" s="10">
        <f t="shared" si="19"/>
        <v>661250</v>
      </c>
    </row>
    <row r="118" ht="17.25" customHeight="1" spans="4:31">
      <c r="H118" s="1">
        <v>116</v>
      </c>
      <c r="I118">
        <v>100</v>
      </c>
      <c r="K118">
        <v>5</v>
      </c>
      <c r="L118">
        <v>12</v>
      </c>
      <c r="P118" s="5" t="str">
        <f t="shared" si="10"/>
        <v>10001|100</v>
      </c>
      <c r="Q118" s="5" t="str">
        <f t="shared" si="11"/>
        <v>10002|</v>
      </c>
      <c r="R118" s="5" t="str">
        <f t="shared" si="12"/>
        <v>10003|5</v>
      </c>
      <c r="S118" s="5" t="str">
        <f t="shared" si="13"/>
        <v>10004|12</v>
      </c>
      <c r="T118" s="5" t="str">
        <f t="shared" si="14"/>
        <v>10005|</v>
      </c>
      <c r="U118" s="5" t="str">
        <f t="shared" si="15"/>
        <v>10006|</v>
      </c>
      <c r="W118" t="str">
        <f t="shared" si="16"/>
        <v>10001|100$10002|$10003|5$10004|12$10005|$10006|</v>
      </c>
      <c r="AB118" s="8">
        <v>116</v>
      </c>
      <c r="AC118" s="9">
        <f t="shared" si="17"/>
        <v>672800</v>
      </c>
      <c r="AD118" s="10">
        <f t="shared" si="18"/>
        <v>26352300</v>
      </c>
      <c r="AE118" s="10">
        <f t="shared" si="19"/>
        <v>672800</v>
      </c>
    </row>
    <row r="119" ht="17.25" customHeight="1" spans="4:31">
      <c r="H119" s="1">
        <v>117</v>
      </c>
      <c r="I119">
        <v>100</v>
      </c>
      <c r="K119">
        <v>5</v>
      </c>
      <c r="L119">
        <v>12</v>
      </c>
      <c r="P119" s="5" t="str">
        <f t="shared" si="10"/>
        <v>10001|100</v>
      </c>
      <c r="Q119" s="5" t="str">
        <f t="shared" si="11"/>
        <v>10002|</v>
      </c>
      <c r="R119" s="5" t="str">
        <f t="shared" si="12"/>
        <v>10003|5</v>
      </c>
      <c r="S119" s="5" t="str">
        <f t="shared" si="13"/>
        <v>10004|12</v>
      </c>
      <c r="T119" s="5" t="str">
        <f t="shared" si="14"/>
        <v>10005|</v>
      </c>
      <c r="U119" s="5" t="str">
        <f t="shared" si="15"/>
        <v>10006|</v>
      </c>
      <c r="W119" t="str">
        <f t="shared" si="16"/>
        <v>10001|100$10002|$10003|5$10004|12$10005|$10006|</v>
      </c>
      <c r="AB119" s="8">
        <v>117</v>
      </c>
      <c r="AC119" s="9">
        <f t="shared" si="17"/>
        <v>684450</v>
      </c>
      <c r="AD119" s="10">
        <f t="shared" si="18"/>
        <v>27036750</v>
      </c>
      <c r="AE119" s="10">
        <f t="shared" si="19"/>
        <v>684450</v>
      </c>
    </row>
    <row r="120" ht="17.25" customHeight="1" spans="4:31">
      <c r="H120" s="1">
        <v>118</v>
      </c>
      <c r="I120">
        <v>100</v>
      </c>
      <c r="K120">
        <v>5</v>
      </c>
      <c r="L120">
        <v>12</v>
      </c>
      <c r="P120" s="5" t="str">
        <f t="shared" si="10"/>
        <v>10001|100</v>
      </c>
      <c r="Q120" s="5" t="str">
        <f t="shared" si="11"/>
        <v>10002|</v>
      </c>
      <c r="R120" s="5" t="str">
        <f t="shared" si="12"/>
        <v>10003|5</v>
      </c>
      <c r="S120" s="5" t="str">
        <f t="shared" si="13"/>
        <v>10004|12</v>
      </c>
      <c r="T120" s="5" t="str">
        <f t="shared" si="14"/>
        <v>10005|</v>
      </c>
      <c r="U120" s="5" t="str">
        <f t="shared" si="15"/>
        <v>10006|</v>
      </c>
      <c r="W120" t="str">
        <f t="shared" si="16"/>
        <v>10001|100$10002|$10003|5$10004|12$10005|$10006|</v>
      </c>
      <c r="AB120" s="8">
        <v>118</v>
      </c>
      <c r="AC120" s="9">
        <f t="shared" si="17"/>
        <v>696200</v>
      </c>
      <c r="AD120" s="10">
        <f t="shared" si="18"/>
        <v>27732950</v>
      </c>
      <c r="AE120" s="10">
        <f t="shared" si="19"/>
        <v>696200</v>
      </c>
    </row>
    <row r="121" ht="17.25" customHeight="1" spans="4:31">
      <c r="H121" s="1">
        <v>119</v>
      </c>
      <c r="I121">
        <v>100</v>
      </c>
      <c r="K121">
        <v>5</v>
      </c>
      <c r="L121">
        <v>12</v>
      </c>
      <c r="P121" s="5" t="str">
        <f t="shared" si="10"/>
        <v>10001|100</v>
      </c>
      <c r="Q121" s="5" t="str">
        <f t="shared" si="11"/>
        <v>10002|</v>
      </c>
      <c r="R121" s="5" t="str">
        <f t="shared" si="12"/>
        <v>10003|5</v>
      </c>
      <c r="S121" s="5" t="str">
        <f t="shared" si="13"/>
        <v>10004|12</v>
      </c>
      <c r="T121" s="5" t="str">
        <f t="shared" si="14"/>
        <v>10005|</v>
      </c>
      <c r="U121" s="5" t="str">
        <f t="shared" si="15"/>
        <v>10006|</v>
      </c>
      <c r="W121" t="str">
        <f t="shared" si="16"/>
        <v>10001|100$10002|$10003|5$10004|12$10005|$10006|</v>
      </c>
      <c r="AB121" s="8">
        <v>119</v>
      </c>
      <c r="AC121" s="9">
        <f t="shared" si="17"/>
        <v>708050</v>
      </c>
      <c r="AD121" s="10">
        <f t="shared" si="18"/>
        <v>28441000</v>
      </c>
      <c r="AE121" s="10">
        <f t="shared" si="19"/>
        <v>708050</v>
      </c>
    </row>
    <row r="122" ht="17.25" customHeight="1" spans="4:31">
      <c r="H122" s="1">
        <v>120</v>
      </c>
      <c r="I122">
        <v>100</v>
      </c>
      <c r="K122">
        <v>5</v>
      </c>
      <c r="L122">
        <v>12</v>
      </c>
      <c r="P122" s="5" t="str">
        <f t="shared" si="10"/>
        <v>10001|100</v>
      </c>
      <c r="Q122" s="5" t="str">
        <f t="shared" si="11"/>
        <v>10002|</v>
      </c>
      <c r="R122" s="5" t="str">
        <f t="shared" si="12"/>
        <v>10003|5</v>
      </c>
      <c r="S122" s="5" t="str">
        <f t="shared" si="13"/>
        <v>10004|12</v>
      </c>
      <c r="T122" s="5" t="str">
        <f t="shared" si="14"/>
        <v>10005|</v>
      </c>
      <c r="U122" s="5" t="str">
        <f t="shared" si="15"/>
        <v>10006|</v>
      </c>
      <c r="W122" t="str">
        <f t="shared" si="16"/>
        <v>10001|100$10002|$10003|5$10004|12$10005|$10006|</v>
      </c>
      <c r="AB122" s="8">
        <v>120</v>
      </c>
      <c r="AC122" s="9">
        <f t="shared" si="17"/>
        <v>720000</v>
      </c>
      <c r="AD122" s="10">
        <f t="shared" si="18"/>
        <v>29161000</v>
      </c>
      <c r="AE122" s="10">
        <f t="shared" si="19"/>
        <v>720000</v>
      </c>
    </row>
    <row r="123" ht="17.25" customHeight="1" spans="4:31">
      <c r="F123" s="3" t="s">
        <v>213</v>
      </c>
      <c r="G123" s="3" t="s">
        <v>214</v>
      </c>
      <c r="H123" s="1">
        <v>121</v>
      </c>
      <c r="I123">
        <v>100</v>
      </c>
      <c r="J123">
        <v>1</v>
      </c>
      <c r="K123">
        <v>5</v>
      </c>
      <c r="L123">
        <v>12</v>
      </c>
      <c r="M123">
        <v>1</v>
      </c>
      <c r="N123">
        <v>2</v>
      </c>
      <c r="P123" s="5" t="str">
        <f t="shared" si="10"/>
        <v>10001|100</v>
      </c>
      <c r="Q123" s="5" t="str">
        <f t="shared" si="11"/>
        <v>10002|1</v>
      </c>
      <c r="R123" s="5" t="str">
        <f t="shared" si="12"/>
        <v>10003|5</v>
      </c>
      <c r="S123" s="5" t="str">
        <f t="shared" si="13"/>
        <v>10004|12</v>
      </c>
      <c r="T123" s="5" t="str">
        <f t="shared" si="14"/>
        <v>10005|1</v>
      </c>
      <c r="U123" s="5" t="str">
        <f t="shared" si="15"/>
        <v>10006|2</v>
      </c>
      <c r="W123" t="str">
        <f t="shared" si="16"/>
        <v>10001|100$10002|1$10003|5$10004|12$10005|1$10006|2</v>
      </c>
      <c r="AB123" s="8">
        <v>121</v>
      </c>
      <c r="AC123" s="9">
        <f t="shared" si="17"/>
        <v>732050</v>
      </c>
      <c r="AD123" s="10">
        <f t="shared" si="18"/>
        <v>29893050</v>
      </c>
      <c r="AE123" s="10">
        <f t="shared" si="19"/>
        <v>732050</v>
      </c>
    </row>
    <row r="124" ht="17.25" customHeight="1" spans="4:31">
      <c r="H124" s="1">
        <v>122</v>
      </c>
      <c r="I124">
        <v>100</v>
      </c>
      <c r="K124">
        <v>5</v>
      </c>
      <c r="L124">
        <v>12</v>
      </c>
      <c r="P124" s="5" t="str">
        <f t="shared" si="10"/>
        <v>10001|100</v>
      </c>
      <c r="Q124" s="5" t="str">
        <f t="shared" si="11"/>
        <v>10002|</v>
      </c>
      <c r="R124" s="5" t="str">
        <f t="shared" si="12"/>
        <v>10003|5</v>
      </c>
      <c r="S124" s="5" t="str">
        <f t="shared" si="13"/>
        <v>10004|12</v>
      </c>
      <c r="T124" s="5" t="str">
        <f t="shared" si="14"/>
        <v>10005|</v>
      </c>
      <c r="U124" s="5" t="str">
        <f t="shared" si="15"/>
        <v>10006|</v>
      </c>
      <c r="W124" t="str">
        <f t="shared" si="16"/>
        <v>10001|100$10002|$10003|5$10004|12$10005|$10006|</v>
      </c>
      <c r="AB124" s="8">
        <v>122</v>
      </c>
      <c r="AC124" s="9">
        <f t="shared" si="17"/>
        <v>744200</v>
      </c>
      <c r="AD124" s="10">
        <f t="shared" si="18"/>
        <v>30637250</v>
      </c>
      <c r="AE124" s="10">
        <f t="shared" si="19"/>
        <v>744200</v>
      </c>
    </row>
    <row r="125" ht="17.25" customHeight="1" spans="4:31">
      <c r="H125" s="1">
        <v>123</v>
      </c>
      <c r="I125">
        <v>100</v>
      </c>
      <c r="K125">
        <v>5</v>
      </c>
      <c r="L125">
        <v>12</v>
      </c>
      <c r="P125" s="5" t="str">
        <f t="shared" si="10"/>
        <v>10001|100</v>
      </c>
      <c r="Q125" s="5" t="str">
        <f t="shared" si="11"/>
        <v>10002|</v>
      </c>
      <c r="R125" s="5" t="str">
        <f t="shared" si="12"/>
        <v>10003|5</v>
      </c>
      <c r="S125" s="5" t="str">
        <f t="shared" si="13"/>
        <v>10004|12</v>
      </c>
      <c r="T125" s="5" t="str">
        <f t="shared" si="14"/>
        <v>10005|</v>
      </c>
      <c r="U125" s="5" t="str">
        <f t="shared" si="15"/>
        <v>10006|</v>
      </c>
      <c r="W125" t="str">
        <f t="shared" si="16"/>
        <v>10001|100$10002|$10003|5$10004|12$10005|$10006|</v>
      </c>
      <c r="AB125" s="8">
        <v>123</v>
      </c>
      <c r="AC125" s="9">
        <f t="shared" si="17"/>
        <v>756450</v>
      </c>
      <c r="AD125" s="10">
        <f t="shared" si="18"/>
        <v>31393700</v>
      </c>
      <c r="AE125" s="10">
        <f t="shared" si="19"/>
        <v>756450</v>
      </c>
    </row>
    <row r="126" ht="17.25" customHeight="1" spans="4:31">
      <c r="H126" s="1">
        <v>124</v>
      </c>
      <c r="I126">
        <v>100</v>
      </c>
      <c r="K126">
        <v>5</v>
      </c>
      <c r="L126">
        <v>12</v>
      </c>
      <c r="P126" s="5" t="str">
        <f t="shared" si="10"/>
        <v>10001|100</v>
      </c>
      <c r="Q126" s="5" t="str">
        <f t="shared" si="11"/>
        <v>10002|</v>
      </c>
      <c r="R126" s="5" t="str">
        <f t="shared" si="12"/>
        <v>10003|5</v>
      </c>
      <c r="S126" s="5" t="str">
        <f t="shared" si="13"/>
        <v>10004|12</v>
      </c>
      <c r="T126" s="5" t="str">
        <f t="shared" si="14"/>
        <v>10005|</v>
      </c>
      <c r="U126" s="5" t="str">
        <f t="shared" si="15"/>
        <v>10006|</v>
      </c>
      <c r="W126" t="str">
        <f t="shared" si="16"/>
        <v>10001|100$10002|$10003|5$10004|12$10005|$10006|</v>
      </c>
      <c r="AB126" s="8">
        <v>124</v>
      </c>
      <c r="AC126" s="9">
        <f t="shared" si="17"/>
        <v>768800</v>
      </c>
      <c r="AD126" s="10">
        <f t="shared" si="18"/>
        <v>32162500</v>
      </c>
      <c r="AE126" s="10">
        <f t="shared" si="19"/>
        <v>768800</v>
      </c>
    </row>
    <row r="127" ht="17.25" customHeight="1" spans="4:31">
      <c r="D127" s="5">
        <f>_xleta.TEXTJOIN</f>
        <v>0</v>
      </c>
      <c r="H127" s="1">
        <v>125</v>
      </c>
      <c r="I127">
        <v>100</v>
      </c>
      <c r="K127">
        <v>5</v>
      </c>
      <c r="L127">
        <v>12</v>
      </c>
      <c r="P127" s="5" t="str">
        <f t="shared" si="10"/>
        <v>10001|100</v>
      </c>
      <c r="Q127" s="5" t="str">
        <f t="shared" si="11"/>
        <v>10002|</v>
      </c>
      <c r="R127" s="5" t="str">
        <f t="shared" si="12"/>
        <v>10003|5</v>
      </c>
      <c r="S127" s="5" t="str">
        <f t="shared" si="13"/>
        <v>10004|12</v>
      </c>
      <c r="T127" s="5" t="str">
        <f t="shared" si="14"/>
        <v>10005|</v>
      </c>
      <c r="U127" s="5" t="str">
        <f t="shared" si="15"/>
        <v>10006|</v>
      </c>
      <c r="W127" t="str">
        <f t="shared" si="16"/>
        <v>10001|100$10002|$10003|5$10004|12$10005|$10006|</v>
      </c>
      <c r="AB127" s="8">
        <v>125</v>
      </c>
      <c r="AC127" s="9">
        <f t="shared" si="17"/>
        <v>781250</v>
      </c>
      <c r="AD127" s="10">
        <f t="shared" si="18"/>
        <v>32943750</v>
      </c>
      <c r="AE127" s="10">
        <f t="shared" si="19"/>
        <v>781250</v>
      </c>
    </row>
    <row r="128" ht="17.25" customHeight="1" spans="4:31">
      <c r="H128" s="1">
        <v>126</v>
      </c>
      <c r="I128">
        <v>100</v>
      </c>
      <c r="K128">
        <v>5</v>
      </c>
      <c r="L128">
        <v>12</v>
      </c>
      <c r="P128" s="5" t="str">
        <f t="shared" si="10"/>
        <v>10001|100</v>
      </c>
      <c r="Q128" s="5" t="str">
        <f t="shared" si="11"/>
        <v>10002|</v>
      </c>
      <c r="R128" s="5" t="str">
        <f t="shared" si="12"/>
        <v>10003|5</v>
      </c>
      <c r="S128" s="5" t="str">
        <f t="shared" si="13"/>
        <v>10004|12</v>
      </c>
      <c r="T128" s="5" t="str">
        <f t="shared" si="14"/>
        <v>10005|</v>
      </c>
      <c r="U128" s="5" t="str">
        <f t="shared" si="15"/>
        <v>10006|</v>
      </c>
      <c r="W128" t="str">
        <f t="shared" si="16"/>
        <v>10001|100$10002|$10003|5$10004|12$10005|$10006|</v>
      </c>
      <c r="AB128" s="8">
        <v>126</v>
      </c>
      <c r="AC128" s="9">
        <f t="shared" si="17"/>
        <v>793800</v>
      </c>
      <c r="AD128" s="10">
        <f t="shared" si="18"/>
        <v>33737550</v>
      </c>
      <c r="AE128" s="10">
        <f t="shared" si="19"/>
        <v>793800</v>
      </c>
    </row>
    <row r="129" ht="17.25" customHeight="1" spans="7:31">
      <c r="H129" s="1">
        <v>127</v>
      </c>
      <c r="I129">
        <v>100</v>
      </c>
      <c r="K129">
        <v>5</v>
      </c>
      <c r="L129">
        <v>12</v>
      </c>
      <c r="P129" s="5" t="str">
        <f t="shared" si="10"/>
        <v>10001|100</v>
      </c>
      <c r="Q129" s="5" t="str">
        <f t="shared" si="11"/>
        <v>10002|</v>
      </c>
      <c r="R129" s="5" t="str">
        <f t="shared" si="12"/>
        <v>10003|5</v>
      </c>
      <c r="S129" s="5" t="str">
        <f t="shared" si="13"/>
        <v>10004|12</v>
      </c>
      <c r="T129" s="5" t="str">
        <f t="shared" si="14"/>
        <v>10005|</v>
      </c>
      <c r="U129" s="5" t="str">
        <f t="shared" si="15"/>
        <v>10006|</v>
      </c>
      <c r="W129" t="str">
        <f t="shared" si="16"/>
        <v>10001|100$10002|$10003|5$10004|12$10005|$10006|</v>
      </c>
      <c r="AB129" s="8">
        <v>127</v>
      </c>
      <c r="AC129" s="9">
        <f t="shared" si="17"/>
        <v>806450</v>
      </c>
      <c r="AD129" s="10">
        <f t="shared" si="18"/>
        <v>34544000</v>
      </c>
      <c r="AE129" s="10">
        <f t="shared" si="19"/>
        <v>806450</v>
      </c>
    </row>
    <row r="130" ht="17.25" customHeight="1" spans="7:31">
      <c r="H130" s="1">
        <v>128</v>
      </c>
      <c r="I130">
        <v>100</v>
      </c>
      <c r="K130">
        <v>5</v>
      </c>
      <c r="L130">
        <v>12</v>
      </c>
      <c r="P130" s="5" t="str">
        <f t="shared" si="10"/>
        <v>10001|100</v>
      </c>
      <c r="Q130" s="5" t="str">
        <f t="shared" si="11"/>
        <v>10002|</v>
      </c>
      <c r="R130" s="5" t="str">
        <f t="shared" si="12"/>
        <v>10003|5</v>
      </c>
      <c r="S130" s="5" t="str">
        <f t="shared" si="13"/>
        <v>10004|12</v>
      </c>
      <c r="T130" s="5" t="str">
        <f t="shared" si="14"/>
        <v>10005|</v>
      </c>
      <c r="U130" s="5" t="str">
        <f t="shared" si="15"/>
        <v>10006|</v>
      </c>
      <c r="W130" t="str">
        <f t="shared" si="16"/>
        <v>10001|100$10002|$10003|5$10004|12$10005|$10006|</v>
      </c>
      <c r="AB130" s="8">
        <v>128</v>
      </c>
      <c r="AC130" s="9">
        <f t="shared" si="17"/>
        <v>819200</v>
      </c>
      <c r="AD130" s="10">
        <f t="shared" si="18"/>
        <v>35363200</v>
      </c>
      <c r="AE130" s="10">
        <f t="shared" si="19"/>
        <v>819200</v>
      </c>
    </row>
    <row r="131" ht="17.25" customHeight="1" spans="7:31">
      <c r="H131" s="1">
        <v>129</v>
      </c>
      <c r="I131">
        <v>100</v>
      </c>
      <c r="K131">
        <v>5</v>
      </c>
      <c r="L131">
        <v>12</v>
      </c>
      <c r="P131" s="5" t="str">
        <f t="shared" ref="P131:P152" si="20">$I$2&amp;"|"&amp;I131</f>
        <v>10001|100</v>
      </c>
      <c r="Q131" s="5" t="str">
        <f t="shared" ref="Q131:Q152" si="21">$J$2&amp;"|"&amp;J131</f>
        <v>10002|</v>
      </c>
      <c r="R131" s="5" t="str">
        <f t="shared" ref="R131:R152" si="22">$K$2&amp;"|"&amp;K131</f>
        <v>10003|5</v>
      </c>
      <c r="S131" s="5" t="str">
        <f t="shared" ref="S131:S152" si="23">$L$2&amp;"|"&amp;L131</f>
        <v>10004|12</v>
      </c>
      <c r="T131" s="5" t="str">
        <f t="shared" ref="T131:T152" si="24">$M$2&amp;"|"&amp;M131</f>
        <v>10005|</v>
      </c>
      <c r="U131" s="5" t="str">
        <f t="shared" ref="U131:U152" si="25">$N$2&amp;"|"&amp;N131</f>
        <v>10006|</v>
      </c>
      <c r="W131" t="str">
        <f t="shared" ref="W131:W152" si="26">P131&amp;"$"&amp;Q131&amp;"$"&amp;R131&amp;"$"&amp;S131&amp;"$"&amp;T131&amp;"$"&amp;U131</f>
        <v>10001|100$10002|$10003|5$10004|12$10005|$10006|</v>
      </c>
      <c r="AB131" s="8">
        <v>129</v>
      </c>
      <c r="AC131" s="9">
        <f t="shared" ref="AC131:AC152" si="27">$Y$3*POWER(AB131,$Z$3)</f>
        <v>832050</v>
      </c>
      <c r="AD131" s="10">
        <f t="shared" si="18"/>
        <v>36195250</v>
      </c>
      <c r="AE131" s="10">
        <f t="shared" si="19"/>
        <v>832050</v>
      </c>
    </row>
    <row r="132" ht="17.25" customHeight="1" spans="7:31">
      <c r="H132" s="1">
        <v>130</v>
      </c>
      <c r="I132">
        <v>100</v>
      </c>
      <c r="K132">
        <v>5</v>
      </c>
      <c r="L132">
        <v>12</v>
      </c>
      <c r="P132" s="5" t="str">
        <f t="shared" si="20"/>
        <v>10001|100</v>
      </c>
      <c r="Q132" s="5" t="str">
        <f t="shared" si="21"/>
        <v>10002|</v>
      </c>
      <c r="R132" s="5" t="str">
        <f t="shared" si="22"/>
        <v>10003|5</v>
      </c>
      <c r="S132" s="5" t="str">
        <f t="shared" si="23"/>
        <v>10004|12</v>
      </c>
      <c r="T132" s="5" t="str">
        <f t="shared" si="24"/>
        <v>10005|</v>
      </c>
      <c r="U132" s="5" t="str">
        <f t="shared" si="25"/>
        <v>10006|</v>
      </c>
      <c r="W132" t="str">
        <f t="shared" si="26"/>
        <v>10001|100$10002|$10003|5$10004|12$10005|$10006|</v>
      </c>
      <c r="AB132" s="8">
        <v>130</v>
      </c>
      <c r="AC132" s="9">
        <f t="shared" si="27"/>
        <v>845000</v>
      </c>
      <c r="AD132" s="10">
        <f t="shared" ref="AD132:AD152" si="28">AD131+AC132</f>
        <v>37040250</v>
      </c>
      <c r="AE132" s="10">
        <f t="shared" ref="AE132:AE152" si="29">AD132-AD131</f>
        <v>845000</v>
      </c>
    </row>
    <row r="133" ht="17.25" customHeight="1" spans="7:31">
      <c r="G133" s="3" t="s">
        <v>215</v>
      </c>
      <c r="H133" s="1">
        <v>131</v>
      </c>
      <c r="I133">
        <v>100</v>
      </c>
      <c r="J133">
        <v>2</v>
      </c>
      <c r="K133">
        <v>5</v>
      </c>
      <c r="L133">
        <v>12</v>
      </c>
      <c r="M133">
        <v>1</v>
      </c>
      <c r="N133">
        <v>3</v>
      </c>
      <c r="P133" s="5" t="str">
        <f t="shared" si="20"/>
        <v>10001|100</v>
      </c>
      <c r="Q133" s="5" t="str">
        <f t="shared" si="21"/>
        <v>10002|2</v>
      </c>
      <c r="R133" s="5" t="str">
        <f t="shared" si="22"/>
        <v>10003|5</v>
      </c>
      <c r="S133" s="5" t="str">
        <f t="shared" si="23"/>
        <v>10004|12</v>
      </c>
      <c r="T133" s="5" t="str">
        <f t="shared" si="24"/>
        <v>10005|1</v>
      </c>
      <c r="U133" s="5" t="str">
        <f t="shared" si="25"/>
        <v>10006|3</v>
      </c>
      <c r="W133" t="str">
        <f t="shared" si="26"/>
        <v>10001|100$10002|2$10003|5$10004|12$10005|1$10006|3</v>
      </c>
      <c r="AB133" s="8">
        <v>131</v>
      </c>
      <c r="AC133" s="9">
        <f t="shared" si="27"/>
        <v>858050</v>
      </c>
      <c r="AD133" s="10">
        <f t="shared" si="28"/>
        <v>37898300</v>
      </c>
      <c r="AE133" s="10">
        <f t="shared" si="29"/>
        <v>858050</v>
      </c>
    </row>
    <row r="134" ht="17.25" customHeight="1" spans="7:31">
      <c r="H134" s="1">
        <v>132</v>
      </c>
      <c r="I134">
        <v>100</v>
      </c>
      <c r="K134">
        <v>5</v>
      </c>
      <c r="L134">
        <v>12</v>
      </c>
      <c r="P134" s="5" t="str">
        <f t="shared" si="20"/>
        <v>10001|100</v>
      </c>
      <c r="Q134" s="5" t="str">
        <f t="shared" si="21"/>
        <v>10002|</v>
      </c>
      <c r="R134" s="5" t="str">
        <f t="shared" si="22"/>
        <v>10003|5</v>
      </c>
      <c r="S134" s="5" t="str">
        <f t="shared" si="23"/>
        <v>10004|12</v>
      </c>
      <c r="T134" s="5" t="str">
        <f t="shared" si="24"/>
        <v>10005|</v>
      </c>
      <c r="U134" s="5" t="str">
        <f t="shared" si="25"/>
        <v>10006|</v>
      </c>
      <c r="W134" t="str">
        <f t="shared" si="26"/>
        <v>10001|100$10002|$10003|5$10004|12$10005|$10006|</v>
      </c>
      <c r="AB134" s="8">
        <v>132</v>
      </c>
      <c r="AC134" s="9">
        <f t="shared" si="27"/>
        <v>871200</v>
      </c>
      <c r="AD134" s="10">
        <f t="shared" si="28"/>
        <v>38769500</v>
      </c>
      <c r="AE134" s="10">
        <f t="shared" si="29"/>
        <v>871200</v>
      </c>
    </row>
    <row r="135" ht="17.25" customHeight="1" spans="7:31">
      <c r="H135" s="1">
        <v>133</v>
      </c>
      <c r="I135">
        <v>100</v>
      </c>
      <c r="K135">
        <v>5</v>
      </c>
      <c r="L135">
        <v>12</v>
      </c>
      <c r="P135" s="5" t="str">
        <f t="shared" si="20"/>
        <v>10001|100</v>
      </c>
      <c r="Q135" s="5" t="str">
        <f t="shared" si="21"/>
        <v>10002|</v>
      </c>
      <c r="R135" s="5" t="str">
        <f t="shared" si="22"/>
        <v>10003|5</v>
      </c>
      <c r="S135" s="5" t="str">
        <f t="shared" si="23"/>
        <v>10004|12</v>
      </c>
      <c r="T135" s="5" t="str">
        <f t="shared" si="24"/>
        <v>10005|</v>
      </c>
      <c r="U135" s="5" t="str">
        <f t="shared" si="25"/>
        <v>10006|</v>
      </c>
      <c r="W135" t="str">
        <f t="shared" si="26"/>
        <v>10001|100$10002|$10003|5$10004|12$10005|$10006|</v>
      </c>
      <c r="AB135" s="8">
        <v>133</v>
      </c>
      <c r="AC135" s="9">
        <f t="shared" si="27"/>
        <v>884450</v>
      </c>
      <c r="AD135" s="10">
        <f t="shared" si="28"/>
        <v>39653950</v>
      </c>
      <c r="AE135" s="10">
        <f t="shared" si="29"/>
        <v>884450</v>
      </c>
    </row>
    <row r="136" ht="17.25" customHeight="1" spans="7:31">
      <c r="H136" s="1">
        <v>134</v>
      </c>
      <c r="I136">
        <v>100</v>
      </c>
      <c r="K136">
        <v>5</v>
      </c>
      <c r="L136">
        <v>12</v>
      </c>
      <c r="P136" s="5" t="str">
        <f t="shared" si="20"/>
        <v>10001|100</v>
      </c>
      <c r="Q136" s="5" t="str">
        <f t="shared" si="21"/>
        <v>10002|</v>
      </c>
      <c r="R136" s="5" t="str">
        <f t="shared" si="22"/>
        <v>10003|5</v>
      </c>
      <c r="S136" s="5" t="str">
        <f t="shared" si="23"/>
        <v>10004|12</v>
      </c>
      <c r="T136" s="5" t="str">
        <f t="shared" si="24"/>
        <v>10005|</v>
      </c>
      <c r="U136" s="5" t="str">
        <f t="shared" si="25"/>
        <v>10006|</v>
      </c>
      <c r="W136" t="str">
        <f t="shared" si="26"/>
        <v>10001|100$10002|$10003|5$10004|12$10005|$10006|</v>
      </c>
      <c r="AB136" s="8">
        <v>134</v>
      </c>
      <c r="AC136" s="9">
        <f t="shared" si="27"/>
        <v>897800</v>
      </c>
      <c r="AD136" s="10">
        <f t="shared" si="28"/>
        <v>40551750</v>
      </c>
      <c r="AE136" s="10">
        <f t="shared" si="29"/>
        <v>897800</v>
      </c>
    </row>
    <row r="137" ht="17.25" customHeight="1" spans="7:31">
      <c r="H137" s="1">
        <v>135</v>
      </c>
      <c r="I137">
        <v>100</v>
      </c>
      <c r="K137">
        <v>5</v>
      </c>
      <c r="L137">
        <v>12</v>
      </c>
      <c r="P137" s="5" t="str">
        <f t="shared" si="20"/>
        <v>10001|100</v>
      </c>
      <c r="Q137" s="5" t="str">
        <f t="shared" si="21"/>
        <v>10002|</v>
      </c>
      <c r="R137" s="5" t="str">
        <f t="shared" si="22"/>
        <v>10003|5</v>
      </c>
      <c r="S137" s="5" t="str">
        <f t="shared" si="23"/>
        <v>10004|12</v>
      </c>
      <c r="T137" s="5" t="str">
        <f t="shared" si="24"/>
        <v>10005|</v>
      </c>
      <c r="U137" s="5" t="str">
        <f t="shared" si="25"/>
        <v>10006|</v>
      </c>
      <c r="W137" t="str">
        <f t="shared" si="26"/>
        <v>10001|100$10002|$10003|5$10004|12$10005|$10006|</v>
      </c>
      <c r="AB137" s="8">
        <v>135</v>
      </c>
      <c r="AC137" s="9">
        <f t="shared" si="27"/>
        <v>911250</v>
      </c>
      <c r="AD137" s="10">
        <f t="shared" si="28"/>
        <v>41463000</v>
      </c>
      <c r="AE137" s="10">
        <f t="shared" si="29"/>
        <v>911250</v>
      </c>
    </row>
    <row r="138" ht="17.25" customHeight="1" spans="7:31">
      <c r="H138" s="1">
        <v>136</v>
      </c>
      <c r="I138">
        <v>100</v>
      </c>
      <c r="K138">
        <v>5</v>
      </c>
      <c r="L138">
        <v>12</v>
      </c>
      <c r="P138" s="5" t="str">
        <f t="shared" si="20"/>
        <v>10001|100</v>
      </c>
      <c r="Q138" s="5" t="str">
        <f t="shared" si="21"/>
        <v>10002|</v>
      </c>
      <c r="R138" s="5" t="str">
        <f t="shared" si="22"/>
        <v>10003|5</v>
      </c>
      <c r="S138" s="5" t="str">
        <f t="shared" si="23"/>
        <v>10004|12</v>
      </c>
      <c r="T138" s="5" t="str">
        <f t="shared" si="24"/>
        <v>10005|</v>
      </c>
      <c r="U138" s="5" t="str">
        <f t="shared" si="25"/>
        <v>10006|</v>
      </c>
      <c r="W138" t="str">
        <f t="shared" si="26"/>
        <v>10001|100$10002|$10003|5$10004|12$10005|$10006|</v>
      </c>
      <c r="AB138" s="8">
        <v>136</v>
      </c>
      <c r="AC138" s="9">
        <f t="shared" si="27"/>
        <v>924800</v>
      </c>
      <c r="AD138" s="10">
        <f t="shared" si="28"/>
        <v>42387800</v>
      </c>
      <c r="AE138" s="10">
        <f t="shared" si="29"/>
        <v>924800</v>
      </c>
    </row>
    <row r="139" ht="17.25" customHeight="1" spans="7:31">
      <c r="H139" s="1">
        <v>137</v>
      </c>
      <c r="I139">
        <v>100</v>
      </c>
      <c r="K139">
        <v>5</v>
      </c>
      <c r="L139">
        <v>12</v>
      </c>
      <c r="P139" s="5" t="str">
        <f t="shared" si="20"/>
        <v>10001|100</v>
      </c>
      <c r="Q139" s="5" t="str">
        <f t="shared" si="21"/>
        <v>10002|</v>
      </c>
      <c r="R139" s="5" t="str">
        <f t="shared" si="22"/>
        <v>10003|5</v>
      </c>
      <c r="S139" s="5" t="str">
        <f t="shared" si="23"/>
        <v>10004|12</v>
      </c>
      <c r="T139" s="5" t="str">
        <f t="shared" si="24"/>
        <v>10005|</v>
      </c>
      <c r="U139" s="5" t="str">
        <f t="shared" si="25"/>
        <v>10006|</v>
      </c>
      <c r="W139" t="str">
        <f t="shared" si="26"/>
        <v>10001|100$10002|$10003|5$10004|12$10005|$10006|</v>
      </c>
      <c r="AB139" s="8">
        <v>137</v>
      </c>
      <c r="AC139" s="9">
        <f t="shared" si="27"/>
        <v>938450</v>
      </c>
      <c r="AD139" s="10">
        <f t="shared" si="28"/>
        <v>43326250</v>
      </c>
      <c r="AE139" s="10">
        <f t="shared" si="29"/>
        <v>938450</v>
      </c>
    </row>
    <row r="140" ht="17.25" customHeight="1" spans="7:31">
      <c r="H140" s="1">
        <v>138</v>
      </c>
      <c r="I140">
        <v>100</v>
      </c>
      <c r="K140">
        <v>5</v>
      </c>
      <c r="L140">
        <v>12</v>
      </c>
      <c r="P140" s="5" t="str">
        <f t="shared" si="20"/>
        <v>10001|100</v>
      </c>
      <c r="Q140" s="5" t="str">
        <f t="shared" si="21"/>
        <v>10002|</v>
      </c>
      <c r="R140" s="5" t="str">
        <f t="shared" si="22"/>
        <v>10003|5</v>
      </c>
      <c r="S140" s="5" t="str">
        <f t="shared" si="23"/>
        <v>10004|12</v>
      </c>
      <c r="T140" s="5" t="str">
        <f t="shared" si="24"/>
        <v>10005|</v>
      </c>
      <c r="U140" s="5" t="str">
        <f t="shared" si="25"/>
        <v>10006|</v>
      </c>
      <c r="W140" t="str">
        <f t="shared" si="26"/>
        <v>10001|100$10002|$10003|5$10004|12$10005|$10006|</v>
      </c>
      <c r="AB140" s="8">
        <v>138</v>
      </c>
      <c r="AC140" s="9">
        <f t="shared" si="27"/>
        <v>952200</v>
      </c>
      <c r="AD140" s="10">
        <f t="shared" si="28"/>
        <v>44278450</v>
      </c>
      <c r="AE140" s="10">
        <f t="shared" si="29"/>
        <v>952200</v>
      </c>
    </row>
    <row r="141" ht="17.25" customHeight="1" spans="7:31">
      <c r="H141" s="1">
        <v>139</v>
      </c>
      <c r="I141">
        <v>100</v>
      </c>
      <c r="K141">
        <v>5</v>
      </c>
      <c r="L141">
        <v>12</v>
      </c>
      <c r="P141" s="5" t="str">
        <f t="shared" si="20"/>
        <v>10001|100</v>
      </c>
      <c r="Q141" s="5" t="str">
        <f t="shared" si="21"/>
        <v>10002|</v>
      </c>
      <c r="R141" s="5" t="str">
        <f t="shared" si="22"/>
        <v>10003|5</v>
      </c>
      <c r="S141" s="5" t="str">
        <f t="shared" si="23"/>
        <v>10004|12</v>
      </c>
      <c r="T141" s="5" t="str">
        <f t="shared" si="24"/>
        <v>10005|</v>
      </c>
      <c r="U141" s="5" t="str">
        <f t="shared" si="25"/>
        <v>10006|</v>
      </c>
      <c r="W141" t="str">
        <f t="shared" si="26"/>
        <v>10001|100$10002|$10003|5$10004|12$10005|$10006|</v>
      </c>
      <c r="AB141" s="8">
        <v>139</v>
      </c>
      <c r="AC141" s="9">
        <f t="shared" si="27"/>
        <v>966050</v>
      </c>
      <c r="AD141" s="10">
        <f t="shared" si="28"/>
        <v>45244500</v>
      </c>
      <c r="AE141" s="10">
        <f t="shared" si="29"/>
        <v>966050</v>
      </c>
    </row>
    <row r="142" ht="17.25" customHeight="1" spans="7:31">
      <c r="H142" s="1">
        <v>140</v>
      </c>
      <c r="I142">
        <v>100</v>
      </c>
      <c r="K142">
        <v>5</v>
      </c>
      <c r="L142">
        <v>12</v>
      </c>
      <c r="P142" s="5" t="str">
        <f t="shared" si="20"/>
        <v>10001|100</v>
      </c>
      <c r="Q142" s="5" t="str">
        <f t="shared" si="21"/>
        <v>10002|</v>
      </c>
      <c r="R142" s="5" t="str">
        <f t="shared" si="22"/>
        <v>10003|5</v>
      </c>
      <c r="S142" s="5" t="str">
        <f t="shared" si="23"/>
        <v>10004|12</v>
      </c>
      <c r="T142" s="5" t="str">
        <f t="shared" si="24"/>
        <v>10005|</v>
      </c>
      <c r="U142" s="5" t="str">
        <f t="shared" si="25"/>
        <v>10006|</v>
      </c>
      <c r="W142" t="str">
        <f t="shared" si="26"/>
        <v>10001|100$10002|$10003|5$10004|12$10005|$10006|</v>
      </c>
      <c r="AB142" s="8">
        <v>140</v>
      </c>
      <c r="AC142" s="9">
        <f t="shared" si="27"/>
        <v>980000</v>
      </c>
      <c r="AD142" s="10">
        <f t="shared" si="28"/>
        <v>46224500</v>
      </c>
      <c r="AE142" s="10">
        <f t="shared" si="29"/>
        <v>980000</v>
      </c>
    </row>
    <row r="143" ht="17.25" customHeight="1" spans="7:31">
      <c r="G143" s="3" t="s">
        <v>216</v>
      </c>
      <c r="H143" s="1">
        <v>141</v>
      </c>
      <c r="I143">
        <v>100</v>
      </c>
      <c r="J143">
        <v>1</v>
      </c>
      <c r="K143">
        <v>5</v>
      </c>
      <c r="L143">
        <v>12</v>
      </c>
      <c r="M143">
        <v>1</v>
      </c>
      <c r="N143">
        <v>2</v>
      </c>
      <c r="P143" s="5" t="str">
        <f t="shared" si="20"/>
        <v>10001|100</v>
      </c>
      <c r="Q143" s="5" t="str">
        <f t="shared" si="21"/>
        <v>10002|1</v>
      </c>
      <c r="R143" s="5" t="str">
        <f t="shared" si="22"/>
        <v>10003|5</v>
      </c>
      <c r="S143" s="5" t="str">
        <f t="shared" si="23"/>
        <v>10004|12</v>
      </c>
      <c r="T143" s="5" t="str">
        <f t="shared" si="24"/>
        <v>10005|1</v>
      </c>
      <c r="U143" s="5" t="str">
        <f t="shared" si="25"/>
        <v>10006|2</v>
      </c>
      <c r="W143" t="str">
        <f t="shared" si="26"/>
        <v>10001|100$10002|1$10003|5$10004|12$10005|1$10006|2</v>
      </c>
      <c r="AB143" s="8">
        <v>141</v>
      </c>
      <c r="AC143" s="9">
        <f t="shared" si="27"/>
        <v>994050</v>
      </c>
      <c r="AD143" s="10">
        <f t="shared" si="28"/>
        <v>47218550</v>
      </c>
      <c r="AE143" s="10">
        <f t="shared" si="29"/>
        <v>994050</v>
      </c>
    </row>
    <row r="144" ht="17.25" customHeight="1" spans="7:31">
      <c r="H144" s="1">
        <v>142</v>
      </c>
      <c r="I144">
        <v>100</v>
      </c>
      <c r="K144">
        <v>5</v>
      </c>
      <c r="L144">
        <v>12</v>
      </c>
      <c r="P144" s="5" t="str">
        <f t="shared" si="20"/>
        <v>10001|100</v>
      </c>
      <c r="Q144" s="5" t="str">
        <f t="shared" si="21"/>
        <v>10002|</v>
      </c>
      <c r="R144" s="5" t="str">
        <f t="shared" si="22"/>
        <v>10003|5</v>
      </c>
      <c r="S144" s="5" t="str">
        <f t="shared" si="23"/>
        <v>10004|12</v>
      </c>
      <c r="T144" s="5" t="str">
        <f t="shared" si="24"/>
        <v>10005|</v>
      </c>
      <c r="U144" s="5" t="str">
        <f t="shared" si="25"/>
        <v>10006|</v>
      </c>
      <c r="W144" t="str">
        <f t="shared" si="26"/>
        <v>10001|100$10002|$10003|5$10004|12$10005|$10006|</v>
      </c>
      <c r="AB144" s="8">
        <v>142</v>
      </c>
      <c r="AC144" s="9">
        <f t="shared" si="27"/>
        <v>1008200</v>
      </c>
      <c r="AD144" s="10">
        <f t="shared" si="28"/>
        <v>48226750</v>
      </c>
      <c r="AE144" s="10">
        <f t="shared" si="29"/>
        <v>1008200</v>
      </c>
    </row>
    <row r="145" ht="17.25" customHeight="1" spans="8:31">
      <c r="H145" s="1">
        <v>143</v>
      </c>
      <c r="I145">
        <v>100</v>
      </c>
      <c r="K145">
        <v>5</v>
      </c>
      <c r="L145">
        <v>12</v>
      </c>
      <c r="P145" s="5" t="str">
        <f t="shared" si="20"/>
        <v>10001|100</v>
      </c>
      <c r="Q145" s="5" t="str">
        <f t="shared" si="21"/>
        <v>10002|</v>
      </c>
      <c r="R145" s="5" t="str">
        <f t="shared" si="22"/>
        <v>10003|5</v>
      </c>
      <c r="S145" s="5" t="str">
        <f t="shared" si="23"/>
        <v>10004|12</v>
      </c>
      <c r="T145" s="5" t="str">
        <f t="shared" si="24"/>
        <v>10005|</v>
      </c>
      <c r="U145" s="5" t="str">
        <f t="shared" si="25"/>
        <v>10006|</v>
      </c>
      <c r="W145" t="str">
        <f t="shared" si="26"/>
        <v>10001|100$10002|$10003|5$10004|12$10005|$10006|</v>
      </c>
      <c r="AB145" s="8">
        <v>143</v>
      </c>
      <c r="AC145" s="9">
        <f t="shared" si="27"/>
        <v>1022450</v>
      </c>
      <c r="AD145" s="10">
        <f t="shared" si="28"/>
        <v>49249200</v>
      </c>
      <c r="AE145" s="10">
        <f t="shared" si="29"/>
        <v>1022450</v>
      </c>
    </row>
    <row r="146" ht="17.25" customHeight="1" spans="8:31">
      <c r="H146" s="1">
        <v>144</v>
      </c>
      <c r="I146">
        <v>100</v>
      </c>
      <c r="K146">
        <v>5</v>
      </c>
      <c r="L146">
        <v>12</v>
      </c>
      <c r="P146" s="5" t="str">
        <f t="shared" si="20"/>
        <v>10001|100</v>
      </c>
      <c r="Q146" s="5" t="str">
        <f t="shared" si="21"/>
        <v>10002|</v>
      </c>
      <c r="R146" s="5" t="str">
        <f t="shared" si="22"/>
        <v>10003|5</v>
      </c>
      <c r="S146" s="5" t="str">
        <f t="shared" si="23"/>
        <v>10004|12</v>
      </c>
      <c r="T146" s="5" t="str">
        <f t="shared" si="24"/>
        <v>10005|</v>
      </c>
      <c r="U146" s="5" t="str">
        <f t="shared" si="25"/>
        <v>10006|</v>
      </c>
      <c r="W146" t="str">
        <f t="shared" si="26"/>
        <v>10001|100$10002|$10003|5$10004|12$10005|$10006|</v>
      </c>
      <c r="AB146" s="8">
        <v>144</v>
      </c>
      <c r="AC146" s="9">
        <f t="shared" si="27"/>
        <v>1036800</v>
      </c>
      <c r="AD146" s="10">
        <f t="shared" si="28"/>
        <v>50286000</v>
      </c>
      <c r="AE146" s="10">
        <f t="shared" si="29"/>
        <v>1036800</v>
      </c>
    </row>
    <row r="147" ht="17.25" customHeight="1" spans="8:31">
      <c r="H147" s="1">
        <v>145</v>
      </c>
      <c r="I147">
        <v>100</v>
      </c>
      <c r="K147">
        <v>5</v>
      </c>
      <c r="L147">
        <v>12</v>
      </c>
      <c r="P147" s="5" t="str">
        <f t="shared" si="20"/>
        <v>10001|100</v>
      </c>
      <c r="Q147" s="5" t="str">
        <f t="shared" si="21"/>
        <v>10002|</v>
      </c>
      <c r="R147" s="5" t="str">
        <f t="shared" si="22"/>
        <v>10003|5</v>
      </c>
      <c r="S147" s="5" t="str">
        <f t="shared" si="23"/>
        <v>10004|12</v>
      </c>
      <c r="T147" s="5" t="str">
        <f t="shared" si="24"/>
        <v>10005|</v>
      </c>
      <c r="U147" s="5" t="str">
        <f t="shared" si="25"/>
        <v>10006|</v>
      </c>
      <c r="W147" t="str">
        <f t="shared" si="26"/>
        <v>10001|100$10002|$10003|5$10004|12$10005|$10006|</v>
      </c>
      <c r="AB147" s="8">
        <v>145</v>
      </c>
      <c r="AC147" s="9">
        <f t="shared" si="27"/>
        <v>1051250</v>
      </c>
      <c r="AD147" s="10">
        <f t="shared" si="28"/>
        <v>51337250</v>
      </c>
      <c r="AE147" s="10">
        <f t="shared" si="29"/>
        <v>1051250</v>
      </c>
    </row>
    <row r="148" ht="17.25" customHeight="1" spans="8:31">
      <c r="H148" s="1">
        <v>146</v>
      </c>
      <c r="I148">
        <v>100</v>
      </c>
      <c r="K148">
        <v>5</v>
      </c>
      <c r="L148">
        <v>12</v>
      </c>
      <c r="P148" s="5" t="str">
        <f t="shared" si="20"/>
        <v>10001|100</v>
      </c>
      <c r="Q148" s="5" t="str">
        <f t="shared" si="21"/>
        <v>10002|</v>
      </c>
      <c r="R148" s="5" t="str">
        <f t="shared" si="22"/>
        <v>10003|5</v>
      </c>
      <c r="S148" s="5" t="str">
        <f t="shared" si="23"/>
        <v>10004|12</v>
      </c>
      <c r="T148" s="5" t="str">
        <f t="shared" si="24"/>
        <v>10005|</v>
      </c>
      <c r="U148" s="5" t="str">
        <f t="shared" si="25"/>
        <v>10006|</v>
      </c>
      <c r="W148" t="str">
        <f t="shared" si="26"/>
        <v>10001|100$10002|$10003|5$10004|12$10005|$10006|</v>
      </c>
      <c r="AB148" s="8">
        <v>146</v>
      </c>
      <c r="AC148" s="9">
        <f t="shared" si="27"/>
        <v>1065800</v>
      </c>
      <c r="AD148" s="10">
        <f t="shared" si="28"/>
        <v>52403050</v>
      </c>
      <c r="AE148" s="10">
        <f t="shared" si="29"/>
        <v>1065800</v>
      </c>
    </row>
    <row r="149" ht="17.25" customHeight="1" spans="8:31">
      <c r="H149" s="1">
        <v>147</v>
      </c>
      <c r="I149">
        <v>100</v>
      </c>
      <c r="K149">
        <v>5</v>
      </c>
      <c r="L149">
        <v>12</v>
      </c>
      <c r="P149" s="5" t="str">
        <f t="shared" si="20"/>
        <v>10001|100</v>
      </c>
      <c r="Q149" s="5" t="str">
        <f t="shared" si="21"/>
        <v>10002|</v>
      </c>
      <c r="R149" s="5" t="str">
        <f t="shared" si="22"/>
        <v>10003|5</v>
      </c>
      <c r="S149" s="5" t="str">
        <f t="shared" si="23"/>
        <v>10004|12</v>
      </c>
      <c r="T149" s="5" t="str">
        <f t="shared" si="24"/>
        <v>10005|</v>
      </c>
      <c r="U149" s="5" t="str">
        <f t="shared" si="25"/>
        <v>10006|</v>
      </c>
      <c r="W149" t="str">
        <f t="shared" si="26"/>
        <v>10001|100$10002|$10003|5$10004|12$10005|$10006|</v>
      </c>
      <c r="AB149" s="8">
        <v>147</v>
      </c>
      <c r="AC149" s="9">
        <f t="shared" si="27"/>
        <v>1080450</v>
      </c>
      <c r="AD149" s="10">
        <f t="shared" si="28"/>
        <v>53483500</v>
      </c>
      <c r="AE149" s="10">
        <f t="shared" si="29"/>
        <v>1080450</v>
      </c>
    </row>
    <row r="150" ht="17.25" customHeight="1" spans="8:31">
      <c r="H150" s="1">
        <v>148</v>
      </c>
      <c r="I150">
        <v>100</v>
      </c>
      <c r="K150">
        <v>5</v>
      </c>
      <c r="L150">
        <v>12</v>
      </c>
      <c r="P150" s="5" t="str">
        <f t="shared" si="20"/>
        <v>10001|100</v>
      </c>
      <c r="Q150" s="5" t="str">
        <f t="shared" si="21"/>
        <v>10002|</v>
      </c>
      <c r="R150" s="5" t="str">
        <f t="shared" si="22"/>
        <v>10003|5</v>
      </c>
      <c r="S150" s="5" t="str">
        <f t="shared" si="23"/>
        <v>10004|12</v>
      </c>
      <c r="T150" s="5" t="str">
        <f t="shared" si="24"/>
        <v>10005|</v>
      </c>
      <c r="U150" s="5" t="str">
        <f t="shared" si="25"/>
        <v>10006|</v>
      </c>
      <c r="W150" t="str">
        <f t="shared" si="26"/>
        <v>10001|100$10002|$10003|5$10004|12$10005|$10006|</v>
      </c>
      <c r="AB150" s="8">
        <v>148</v>
      </c>
      <c r="AC150" s="9">
        <f t="shared" si="27"/>
        <v>1095200</v>
      </c>
      <c r="AD150" s="10">
        <f t="shared" si="28"/>
        <v>54578700</v>
      </c>
      <c r="AE150" s="10">
        <f t="shared" si="29"/>
        <v>1095200</v>
      </c>
    </row>
    <row r="151" ht="17.25" customHeight="1" spans="8:31">
      <c r="H151" s="1">
        <v>149</v>
      </c>
      <c r="I151">
        <v>100</v>
      </c>
      <c r="K151">
        <v>5</v>
      </c>
      <c r="L151">
        <v>12</v>
      </c>
      <c r="P151" s="5" t="str">
        <f t="shared" si="20"/>
        <v>10001|100</v>
      </c>
      <c r="Q151" s="5" t="str">
        <f t="shared" si="21"/>
        <v>10002|</v>
      </c>
      <c r="R151" s="5" t="str">
        <f t="shared" si="22"/>
        <v>10003|5</v>
      </c>
      <c r="S151" s="5" t="str">
        <f t="shared" si="23"/>
        <v>10004|12</v>
      </c>
      <c r="T151" s="5" t="str">
        <f t="shared" si="24"/>
        <v>10005|</v>
      </c>
      <c r="U151" s="5" t="str">
        <f t="shared" si="25"/>
        <v>10006|</v>
      </c>
      <c r="W151" t="str">
        <f t="shared" si="26"/>
        <v>10001|100$10002|$10003|5$10004|12$10005|$10006|</v>
      </c>
      <c r="AB151" s="8">
        <v>149</v>
      </c>
      <c r="AC151" s="9">
        <f t="shared" si="27"/>
        <v>1110050</v>
      </c>
      <c r="AD151" s="10">
        <f t="shared" si="28"/>
        <v>55688750</v>
      </c>
      <c r="AE151" s="10">
        <f t="shared" si="29"/>
        <v>1110050</v>
      </c>
    </row>
    <row r="152" ht="17.25" customHeight="1" spans="8:31">
      <c r="H152" s="1">
        <v>150</v>
      </c>
      <c r="I152">
        <v>100</v>
      </c>
      <c r="J152">
        <v>1</v>
      </c>
      <c r="K152">
        <v>5</v>
      </c>
      <c r="L152">
        <v>12</v>
      </c>
      <c r="M152" s="1">
        <v>1</v>
      </c>
      <c r="N152" s="1">
        <v>2</v>
      </c>
      <c r="P152" s="5" t="str">
        <f t="shared" si="20"/>
        <v>10001|100</v>
      </c>
      <c r="Q152" s="5" t="str">
        <f t="shared" si="21"/>
        <v>10002|1</v>
      </c>
      <c r="R152" s="5" t="str">
        <f t="shared" si="22"/>
        <v>10003|5</v>
      </c>
      <c r="S152" s="5" t="str">
        <f t="shared" si="23"/>
        <v>10004|12</v>
      </c>
      <c r="T152" s="5" t="str">
        <f t="shared" si="24"/>
        <v>10005|1</v>
      </c>
      <c r="U152" s="5" t="str">
        <f t="shared" si="25"/>
        <v>10006|2</v>
      </c>
      <c r="W152" t="str">
        <f t="shared" si="26"/>
        <v>10001|100$10002|1$10003|5$10004|12$10005|1$10006|2</v>
      </c>
      <c r="AB152" s="8">
        <v>150</v>
      </c>
      <c r="AC152" s="9">
        <f t="shared" si="27"/>
        <v>1125000</v>
      </c>
      <c r="AD152" s="10">
        <f t="shared" si="28"/>
        <v>56813750</v>
      </c>
      <c r="AE152" s="10">
        <f t="shared" si="29"/>
        <v>1125000</v>
      </c>
    </row>
  </sheetData>
  <mergeCells count="20">
    <mergeCell ref="F3:F32"/>
    <mergeCell ref="F33:F62"/>
    <mergeCell ref="F63:F92"/>
    <mergeCell ref="F93:F122"/>
    <mergeCell ref="F123:F152"/>
    <mergeCell ref="G3:G12"/>
    <mergeCell ref="G13:G22"/>
    <mergeCell ref="G23:G32"/>
    <mergeCell ref="G33:G42"/>
    <mergeCell ref="G43:G52"/>
    <mergeCell ref="G53:G62"/>
    <mergeCell ref="G63:G72"/>
    <mergeCell ref="G73:G82"/>
    <mergeCell ref="G83:G92"/>
    <mergeCell ref="G93:G102"/>
    <mergeCell ref="G103:G112"/>
    <mergeCell ref="G113:G122"/>
    <mergeCell ref="G123:G132"/>
    <mergeCell ref="G133:G142"/>
    <mergeCell ref="G143:G15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038" workbookViewId="0">
      <selection activeCell="H13" sqref="H1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公式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2021-06-25T12:52:00Z</dcterms:created>
  <dcterms:modified xsi:type="dcterms:W3CDTF">2026-01-23T03:02:28Z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3598CF1C0A2946099A8047A449E1E6C3_12</vt:lpwstr>
  </property>
  <property fmtid="{D5CDD505-2E9C-101B-9397-08002B2CF9AE}" pid="4" name="CalculationRule">
    <vt:i4>0</vt:i4>
  </property>
</Properties>
</file>