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20" windowHeight="10605"/>
  </bookViews>
  <sheets>
    <sheet name="Sheet1" sheetId="1" r:id="rId1"/>
    <sheet name="具体套装" sheetId="2" r:id="rId2"/>
    <sheet name="装备等级与属性规则" sheetId="3" r:id="rId3"/>
    <sheet name="装备id规则" sheetId="4" r:id="rId4"/>
    <sheet name="装备强化规则" sheetId="5" r:id="rId5"/>
    <sheet name="装备强化材料" sheetId="6" r:id="rId6"/>
    <sheet name="装备精炼材料" sheetId="7" r:id="rId7"/>
    <sheet name="辅助设计" sheetId="8" r:id="rId8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<sst xmlns="http://schemas.openxmlformats.org/spreadsheetml/2006/main" count="3153" uniqueCount="1150">
  <si>
    <t>##var</t>
  </si>
  <si>
    <t>id</t>
  </si>
  <si>
    <t>name</t>
  </si>
  <si>
    <t>rarity</t>
  </si>
  <si>
    <t>pos</t>
  </si>
  <si>
    <t>basePro</t>
  </si>
  <si>
    <t>iconName</t>
  </si>
  <si>
    <t>taoZhuang</t>
  </si>
  <si>
    <t>des</t>
  </si>
  <si>
    <t>hidedes</t>
  </si>
  <si>
    <t>featureDes</t>
  </si>
  <si>
    <t>itemId</t>
  </si>
  <si>
    <t>makeCost</t>
  </si>
  <si>
    <t>tuZhi</t>
  </si>
  <si>
    <t>qiHuo</t>
  </si>
  <si>
    <t>upgradeCost</t>
  </si>
  <si>
    <t>upgradeProAdd</t>
  </si>
  <si>
    <t>param</t>
  </si>
  <si>
    <t>param2</t>
  </si>
  <si>
    <t>##type</t>
  </si>
  <si>
    <t>string</t>
  </si>
  <si>
    <t>##</t>
  </si>
  <si>
    <t>21101</t>
  </si>
  <si>
    <t>短矛</t>
  </si>
  <si>
    <t>1</t>
  </si>
  <si>
    <t>0</t>
  </si>
  <si>
    <t>10003|435</t>
  </si>
  <si>
    <t>ring</t>
  </si>
  <si>
    <t>击中敌人三次后额外回复6点气</t>
  </si>
  <si>
    <t>111001|330$10001|1000</t>
  </si>
  <si>
    <t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t>
  </si>
  <si>
    <t>65</t>
  </si>
  <si>
    <t>21201</t>
  </si>
  <si>
    <t>束刃</t>
  </si>
  <si>
    <t>sword</t>
  </si>
  <si>
    <t>战斗中暴击率增加20%</t>
  </si>
  <si>
    <t>22101</t>
  </si>
  <si>
    <t>2</t>
  </si>
  <si>
    <t>10003|521</t>
  </si>
  <si>
    <t>击中敌人两次后额外回复5点气</t>
  </si>
  <si>
    <t>112001|430$10001|1500</t>
  </si>
  <si>
    <t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t>
  </si>
  <si>
    <t>78</t>
  </si>
  <si>
    <t>22201</t>
  </si>
  <si>
    <t>击中敌人三次后额外再触发一次攻击</t>
  </si>
  <si>
    <t>23101</t>
  </si>
  <si>
    <t>3</t>
  </si>
  <si>
    <t>10003|608</t>
  </si>
  <si>
    <t>113001|550$10001|2000</t>
  </si>
  <si>
    <t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t>
  </si>
  <si>
    <t>91</t>
  </si>
  <si>
    <t>23201</t>
  </si>
  <si>
    <t>24101</t>
  </si>
  <si>
    <t>4</t>
  </si>
  <si>
    <t>10003|695</t>
  </si>
  <si>
    <t>114001|1100$10001|2500</t>
  </si>
  <si>
    <t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t>
  </si>
  <si>
    <t>104</t>
  </si>
  <si>
    <t>25101</t>
  </si>
  <si>
    <t>5</t>
  </si>
  <si>
    <t>10003|869</t>
  </si>
  <si>
    <t>115001|1655$10001|3000</t>
  </si>
  <si>
    <t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t>
  </si>
  <si>
    <t>130</t>
  </si>
  <si>
    <t>24201</t>
  </si>
  <si>
    <t>堕圣剑</t>
  </si>
  <si>
    <t>10003|720</t>
  </si>
  <si>
    <t>img_duoxianjian</t>
  </si>
  <si>
    <t>造成伤害时，有10%（每次精炼+2）50几率召唤一把仙剑额外造成一次40%45 50 55 60攻击力无属性伤害</t>
  </si>
  <si>
    <t>造成伤害时，有50%几率召唤一把仙剑额外造成一次40%攻击力无属性伤害</t>
  </si>
  <si>
    <t>114001|1100$10001|2500$344001|1</t>
  </si>
  <si>
    <t>108</t>
  </si>
  <si>
    <t>50$40|45|50|55|60</t>
  </si>
  <si>
    <t>10059</t>
  </si>
  <si>
    <t>21001</t>
  </si>
  <si>
    <t>噬魂刀</t>
  </si>
  <si>
    <t>111001|330$10001|1000$341002|1</t>
  </si>
  <si>
    <t>341002</t>
  </si>
  <si>
    <t>411001</t>
  </si>
  <si>
    <t>21002</t>
  </si>
  <si>
    <t>噬魂甲</t>
  </si>
  <si>
    <t>10004|303</t>
  </si>
  <si>
    <t>111001|330$10001|1000$341003|1</t>
  </si>
  <si>
    <t>341003</t>
  </si>
  <si>
    <t>46</t>
  </si>
  <si>
    <t>21003</t>
  </si>
  <si>
    <t>噬魂靴</t>
  </si>
  <si>
    <t>10001|1610</t>
  </si>
  <si>
    <t>111001|330$10001|1000$341004|1</t>
  </si>
  <si>
    <t>341004</t>
  </si>
  <si>
    <t>242</t>
  </si>
  <si>
    <t>21004</t>
  </si>
  <si>
    <t>噬魂晶核</t>
  </si>
  <si>
    <t>10009|458</t>
  </si>
  <si>
    <t>111001|330$10001|1000$341005|1</t>
  </si>
  <si>
    <t>341005</t>
  </si>
  <si>
    <t>69</t>
  </si>
  <si>
    <t>21005</t>
  </si>
  <si>
    <t>狮心剑</t>
  </si>
  <si>
    <t>10003|563</t>
  </si>
  <si>
    <t>111001|330$10001|1000$341006|1</t>
  </si>
  <si>
    <t>341006</t>
  </si>
  <si>
    <t>411002</t>
  </si>
  <si>
    <t>85</t>
  </si>
  <si>
    <t>21006</t>
  </si>
  <si>
    <t>铁棘甲</t>
  </si>
  <si>
    <t>10004|285</t>
  </si>
  <si>
    <t>111001|330$10001|1000$341007|1</t>
  </si>
  <si>
    <t>341007</t>
  </si>
  <si>
    <t>43</t>
  </si>
  <si>
    <t>21007</t>
  </si>
  <si>
    <t>沼泽行者靴</t>
  </si>
  <si>
    <t>10001|1502</t>
  </si>
  <si>
    <t>111001|330$10001|1000$341008|1</t>
  </si>
  <si>
    <t>341008</t>
  </si>
  <si>
    <t>226</t>
  </si>
  <si>
    <t>21008</t>
  </si>
  <si>
    <t>血誓宝珠</t>
  </si>
  <si>
    <t>111001|330$10001|1000$341009|1</t>
  </si>
  <si>
    <t>341009</t>
  </si>
  <si>
    <t>21009</t>
  </si>
  <si>
    <t>疾风领主剑</t>
  </si>
  <si>
    <t>10003|505</t>
  </si>
  <si>
    <t>111001|330$10001|1000$341010|1</t>
  </si>
  <si>
    <t>341010</t>
  </si>
  <si>
    <t>411003</t>
  </si>
  <si>
    <t>76</t>
  </si>
  <si>
    <t>21010</t>
  </si>
  <si>
    <t>幻变侯爵甲</t>
  </si>
  <si>
    <t>111001|330$10001|1000$341011|1</t>
  </si>
  <si>
    <t>341011</t>
  </si>
  <si>
    <t>21011</t>
  </si>
  <si>
    <t>鹰翼行者靴</t>
  </si>
  <si>
    <t>10001|1418</t>
  </si>
  <si>
    <t>111001|330$10001|1000$341012|1</t>
  </si>
  <si>
    <t>341012</t>
  </si>
  <si>
    <t>213</t>
  </si>
  <si>
    <t>21012</t>
  </si>
  <si>
    <t>誓约王冠玉</t>
  </si>
  <si>
    <t>111001|330$10001|1000$341013|1</t>
  </si>
  <si>
    <t>341013</t>
  </si>
  <si>
    <t>21013</t>
  </si>
  <si>
    <t>领主剑</t>
  </si>
  <si>
    <t>111001|330$10001|1000$341014|1</t>
  </si>
  <si>
    <t>341014</t>
  </si>
  <si>
    <t>411004</t>
  </si>
  <si>
    <t>66</t>
  </si>
  <si>
    <t>21014</t>
  </si>
  <si>
    <t>重生甲</t>
  </si>
  <si>
    <t>10004|325</t>
  </si>
  <si>
    <t>111001|330$10001|1000$341015|1</t>
  </si>
  <si>
    <t>341015</t>
  </si>
  <si>
    <t>49</t>
  </si>
  <si>
    <t>21015</t>
  </si>
  <si>
    <t>虚空靴</t>
  </si>
  <si>
    <t>10001|1635</t>
  </si>
  <si>
    <t>111001|330$10001|1000$341016|1</t>
  </si>
  <si>
    <t>341016</t>
  </si>
  <si>
    <t>245</t>
  </si>
  <si>
    <t>21016</t>
  </si>
  <si>
    <t>王冠珠</t>
  </si>
  <si>
    <t>111001|330$10001|1000$341017|1</t>
  </si>
  <si>
    <t>341017</t>
  </si>
  <si>
    <t>21017</t>
  </si>
  <si>
    <t>海洋公爵鼎</t>
  </si>
  <si>
    <t>10003|320</t>
  </si>
  <si>
    <t>111001|330$10001|1000$341018|1</t>
  </si>
  <si>
    <t>341018</t>
  </si>
  <si>
    <t>411005</t>
  </si>
  <si>
    <t>48</t>
  </si>
  <si>
    <t>21018</t>
  </si>
  <si>
    <t>北境骑士甲</t>
  </si>
  <si>
    <t>10004|382</t>
  </si>
  <si>
    <t>111001|330$10001|1000$341019|1</t>
  </si>
  <si>
    <t>341019</t>
  </si>
  <si>
    <t>57</t>
  </si>
  <si>
    <t>21019</t>
  </si>
  <si>
    <t>山崩领主靴</t>
  </si>
  <si>
    <t>10001|1933</t>
  </si>
  <si>
    <t>111001|330$10001|1000$341020|1</t>
  </si>
  <si>
    <t>341020</t>
  </si>
  <si>
    <t>290</t>
  </si>
  <si>
    <t>21020</t>
  </si>
  <si>
    <t>迷光珠</t>
  </si>
  <si>
    <t>111001|330$10001|1000$341021|1</t>
  </si>
  <si>
    <t>341021</t>
  </si>
  <si>
    <t>21021</t>
  </si>
  <si>
    <t>云霄侯爵匕</t>
  </si>
  <si>
    <t>10003|440</t>
  </si>
  <si>
    <t>6</t>
  </si>
  <si>
    <t>111001|330$10001|1000$341022|1</t>
  </si>
  <si>
    <t>341022</t>
  </si>
  <si>
    <t>411006</t>
  </si>
  <si>
    <t>21022</t>
  </si>
  <si>
    <t>天羽伯爵衣</t>
  </si>
  <si>
    <t>10004|323</t>
  </si>
  <si>
    <t>111001|330$10001|1000$341023|1</t>
  </si>
  <si>
    <t>341023</t>
  </si>
  <si>
    <t>21023</t>
  </si>
  <si>
    <t>雾行靴</t>
  </si>
  <si>
    <t>10001|1630</t>
  </si>
  <si>
    <t>111001|330$10001|1000$341024|1</t>
  </si>
  <si>
    <t>341024</t>
  </si>
  <si>
    <t>21024</t>
  </si>
  <si>
    <t>公爵圣杯</t>
  </si>
  <si>
    <t>111001|330$10001|1000$341025|1</t>
  </si>
  <si>
    <t>341025</t>
  </si>
  <si>
    <t>21025</t>
  </si>
  <si>
    <t>占卜晶</t>
  </si>
  <si>
    <t>10003|409</t>
  </si>
  <si>
    <t>7</t>
  </si>
  <si>
    <t>111001|330$10001|1000$341026|1</t>
  </si>
  <si>
    <t>341026</t>
  </si>
  <si>
    <t>411007</t>
  </si>
  <si>
    <t>62</t>
  </si>
  <si>
    <t>21026</t>
  </si>
  <si>
    <t>银辉甲</t>
  </si>
  <si>
    <t>111001|330$10001|1000$341027|1</t>
  </si>
  <si>
    <t>341027</t>
  </si>
  <si>
    <t>21027</t>
  </si>
  <si>
    <t>夜隐靴</t>
  </si>
  <si>
    <t>10001|1560</t>
  </si>
  <si>
    <t>111001|330$10001|1000$341028|1</t>
  </si>
  <si>
    <t>341028</t>
  </si>
  <si>
    <t>234</t>
  </si>
  <si>
    <t>21028</t>
  </si>
  <si>
    <t>领主护符</t>
  </si>
  <si>
    <t>111001|330$10001|1000$341029|1</t>
  </si>
  <si>
    <t>341029</t>
  </si>
  <si>
    <t>21029</t>
  </si>
  <si>
    <t>炼金鼎</t>
  </si>
  <si>
    <t>10003|380</t>
  </si>
  <si>
    <t>8</t>
  </si>
  <si>
    <t>111001|330$10001|1000$341030|1</t>
  </si>
  <si>
    <t>341030</t>
  </si>
  <si>
    <t>411008</t>
  </si>
  <si>
    <t>21030</t>
  </si>
  <si>
    <t>古木长袍</t>
  </si>
  <si>
    <t>10004|345</t>
  </si>
  <si>
    <t>111001|330$10001|1000$341031|1</t>
  </si>
  <si>
    <t>341031</t>
  </si>
  <si>
    <t>52</t>
  </si>
  <si>
    <t>21031</t>
  </si>
  <si>
    <t>风灵长靴</t>
  </si>
  <si>
    <t>10001|1965</t>
  </si>
  <si>
    <t>111001|330$10001|1000$341032|1</t>
  </si>
  <si>
    <t>341032</t>
  </si>
  <si>
    <t>295</t>
  </si>
  <si>
    <t>21032</t>
  </si>
  <si>
    <t>生命珠</t>
  </si>
  <si>
    <t>111001|330$10001|1000$341033|1</t>
  </si>
  <si>
    <t>341033</t>
  </si>
  <si>
    <t>21033</t>
  </si>
  <si>
    <t>公爵冥镜</t>
  </si>
  <si>
    <t>9</t>
  </si>
  <si>
    <t>111001|330$10001|1000$341034|1</t>
  </si>
  <si>
    <t>341034</t>
  </si>
  <si>
    <t>411009</t>
  </si>
  <si>
    <t>21034</t>
  </si>
  <si>
    <t>侯爵重铠</t>
  </si>
  <si>
    <t>10004|360</t>
  </si>
  <si>
    <t>111001|330$10001|1000$341035|1</t>
  </si>
  <si>
    <t>341035</t>
  </si>
  <si>
    <t>54</t>
  </si>
  <si>
    <t>21035</t>
  </si>
  <si>
    <t>伯爵胫甲</t>
  </si>
  <si>
    <t>10001|1783</t>
  </si>
  <si>
    <t>111001|330$10001|1000$341036|1</t>
  </si>
  <si>
    <t>341036</t>
  </si>
  <si>
    <t>268</t>
  </si>
  <si>
    <t>21036</t>
  </si>
  <si>
    <t>领主权戒</t>
  </si>
  <si>
    <t>111001|330$10001|1000$341037|1</t>
  </si>
  <si>
    <t>341037</t>
  </si>
  <si>
    <t>21037</t>
  </si>
  <si>
    <t>原初长戟</t>
  </si>
  <si>
    <t>10</t>
  </si>
  <si>
    <t>111001|330$10001|1000$341038|1</t>
  </si>
  <si>
    <t>341038</t>
  </si>
  <si>
    <t>411010</t>
  </si>
  <si>
    <t>21038</t>
  </si>
  <si>
    <t>混沌板甲</t>
  </si>
  <si>
    <t>111001|330$10001|1000$341039|1</t>
  </si>
  <si>
    <t>341039</t>
  </si>
  <si>
    <t>21039</t>
  </si>
  <si>
    <t>灾厄战靴</t>
  </si>
  <si>
    <t>111001|330$10001|1000$341040|1</t>
  </si>
  <si>
    <t>341040</t>
  </si>
  <si>
    <t>21040</t>
  </si>
  <si>
    <t>混沌球</t>
  </si>
  <si>
    <t>111001|330$10001|1000$341041|1</t>
  </si>
  <si>
    <t>341041</t>
  </si>
  <si>
    <t>22001</t>
  </si>
  <si>
    <t>112001|430$10001|1500$342002|1</t>
  </si>
  <si>
    <t>342002</t>
  </si>
  <si>
    <t>412001</t>
  </si>
  <si>
    <t>22002</t>
  </si>
  <si>
    <t>10004|363</t>
  </si>
  <si>
    <t>112001|430$10001|1500$342003|1</t>
  </si>
  <si>
    <t>342003</t>
  </si>
  <si>
    <t>55</t>
  </si>
  <si>
    <t>22003</t>
  </si>
  <si>
    <t>10001|1932</t>
  </si>
  <si>
    <t>112001|430$10001|1500$342004|1</t>
  </si>
  <si>
    <t>342004</t>
  </si>
  <si>
    <t>22004</t>
  </si>
  <si>
    <t>10009|550</t>
  </si>
  <si>
    <t>112001|430$10001|1500$342005|1</t>
  </si>
  <si>
    <t>342005</t>
  </si>
  <si>
    <t>82</t>
  </si>
  <si>
    <t>22005</t>
  </si>
  <si>
    <t>10003|675</t>
  </si>
  <si>
    <t>112001|430$10001|1500$342006|1</t>
  </si>
  <si>
    <t>342006</t>
  </si>
  <si>
    <t>412002</t>
  </si>
  <si>
    <t>101</t>
  </si>
  <si>
    <t>22006</t>
  </si>
  <si>
    <t>10004|341</t>
  </si>
  <si>
    <t>112001|430$10001|1500$342007|1</t>
  </si>
  <si>
    <t>342007</t>
  </si>
  <si>
    <t>51</t>
  </si>
  <si>
    <t>22007</t>
  </si>
  <si>
    <t>10001|1802</t>
  </si>
  <si>
    <t>112001|430$10001|1500$342008|1</t>
  </si>
  <si>
    <t>342008</t>
  </si>
  <si>
    <t>271</t>
  </si>
  <si>
    <t>22008</t>
  </si>
  <si>
    <t>112001|430$10001|1500$342009|1</t>
  </si>
  <si>
    <t>342009</t>
  </si>
  <si>
    <t>22009</t>
  </si>
  <si>
    <t>10003|605</t>
  </si>
  <si>
    <t>112001|430$10001|1500$342010|1</t>
  </si>
  <si>
    <t>342010</t>
  </si>
  <si>
    <t>412003</t>
  </si>
  <si>
    <t>22010</t>
  </si>
  <si>
    <t>112001|430$10001|1500$342011|1</t>
  </si>
  <si>
    <t>342011</t>
  </si>
  <si>
    <t>22011</t>
  </si>
  <si>
    <t>10001|1702</t>
  </si>
  <si>
    <t>112001|430$10001|1500$342012|1</t>
  </si>
  <si>
    <t>342012</t>
  </si>
  <si>
    <t>255</t>
  </si>
  <si>
    <t>22012</t>
  </si>
  <si>
    <t>112001|430$10001|1500$342013|1</t>
  </si>
  <si>
    <t>342013</t>
  </si>
  <si>
    <t>22013</t>
  </si>
  <si>
    <t>10003|522</t>
  </si>
  <si>
    <t>112001|430$10001|1500$342014|1</t>
  </si>
  <si>
    <t>342014</t>
  </si>
  <si>
    <t>412004</t>
  </si>
  <si>
    <t>79</t>
  </si>
  <si>
    <t>22014</t>
  </si>
  <si>
    <t>10004|389</t>
  </si>
  <si>
    <t>112001|430$10001|1500$342015|1</t>
  </si>
  <si>
    <t>342015</t>
  </si>
  <si>
    <t>58</t>
  </si>
  <si>
    <t>22015</t>
  </si>
  <si>
    <t>10001|1961</t>
  </si>
  <si>
    <t>112001|430$10001|1500$342016|1</t>
  </si>
  <si>
    <t>342016</t>
  </si>
  <si>
    <t>294</t>
  </si>
  <si>
    <t>22016</t>
  </si>
  <si>
    <t>112001|430$10001|1500$342017|1</t>
  </si>
  <si>
    <t>342017</t>
  </si>
  <si>
    <t>22017</t>
  </si>
  <si>
    <t>10003|384</t>
  </si>
  <si>
    <t>112001|430$10001|1500$342018|1</t>
  </si>
  <si>
    <t>342018</t>
  </si>
  <si>
    <t>412005</t>
  </si>
  <si>
    <t>22018</t>
  </si>
  <si>
    <t>10004|458</t>
  </si>
  <si>
    <t>112001|430$10001|1500$342019|1</t>
  </si>
  <si>
    <t>342019</t>
  </si>
  <si>
    <t>68</t>
  </si>
  <si>
    <t>22019</t>
  </si>
  <si>
    <t>10001|2319</t>
  </si>
  <si>
    <t>112001|430$10001|1500$342020|1</t>
  </si>
  <si>
    <t>342020</t>
  </si>
  <si>
    <t>348</t>
  </si>
  <si>
    <t>22020</t>
  </si>
  <si>
    <t>112001|430$10001|1500$342021|1</t>
  </si>
  <si>
    <t>342021</t>
  </si>
  <si>
    <t>22021</t>
  </si>
  <si>
    <t>10003|528</t>
  </si>
  <si>
    <t>112001|430$10001|1500$342022|1</t>
  </si>
  <si>
    <t>342022</t>
  </si>
  <si>
    <t>412006</t>
  </si>
  <si>
    <t>22022</t>
  </si>
  <si>
    <t>10004|387</t>
  </si>
  <si>
    <t>112001|430$10001|1500$342023|1</t>
  </si>
  <si>
    <t>342023</t>
  </si>
  <si>
    <t>22023</t>
  </si>
  <si>
    <t>10001|1956</t>
  </si>
  <si>
    <t>112001|430$10001|1500$342024|1</t>
  </si>
  <si>
    <t>342024</t>
  </si>
  <si>
    <t>293</t>
  </si>
  <si>
    <t>22024</t>
  </si>
  <si>
    <t>112001|430$10001|1500$342025|1</t>
  </si>
  <si>
    <t>342025</t>
  </si>
  <si>
    <t>22025</t>
  </si>
  <si>
    <t>10003|490</t>
  </si>
  <si>
    <t>112001|430$10001|1500$342026|1</t>
  </si>
  <si>
    <t>342026</t>
  </si>
  <si>
    <t>412007</t>
  </si>
  <si>
    <t>74</t>
  </si>
  <si>
    <t>22026</t>
  </si>
  <si>
    <t>112001|430$10001|1500$342027|1</t>
  </si>
  <si>
    <t>342027</t>
  </si>
  <si>
    <t>22027</t>
  </si>
  <si>
    <t>10001|1872</t>
  </si>
  <si>
    <t>112001|430$10001|1500$342028|1</t>
  </si>
  <si>
    <t>342028</t>
  </si>
  <si>
    <t>281</t>
  </si>
  <si>
    <t>22028</t>
  </si>
  <si>
    <t>112001|430$10001|1500$342029|1</t>
  </si>
  <si>
    <t>342029</t>
  </si>
  <si>
    <t>22029</t>
  </si>
  <si>
    <t>10003|456</t>
  </si>
  <si>
    <t>112001|430$10001|1500$342030|1</t>
  </si>
  <si>
    <t>342030</t>
  </si>
  <si>
    <t>412008</t>
  </si>
  <si>
    <t>22030</t>
  </si>
  <si>
    <t>10004|414</t>
  </si>
  <si>
    <t>112001|430$10001|1500$342031|1</t>
  </si>
  <si>
    <t>342031</t>
  </si>
  <si>
    <t>22031</t>
  </si>
  <si>
    <t>10001|2358</t>
  </si>
  <si>
    <t>112001|430$10001|1500$342032|1</t>
  </si>
  <si>
    <t>342032</t>
  </si>
  <si>
    <t>354</t>
  </si>
  <si>
    <t>22032</t>
  </si>
  <si>
    <t>112001|430$10001|1500$342033|1</t>
  </si>
  <si>
    <t>342033</t>
  </si>
  <si>
    <t>22033</t>
  </si>
  <si>
    <t>112001|430$10001|1500$342034|1</t>
  </si>
  <si>
    <t>342034</t>
  </si>
  <si>
    <t>412009</t>
  </si>
  <si>
    <t>22034</t>
  </si>
  <si>
    <t>10004|432</t>
  </si>
  <si>
    <t>112001|430$10001|1500$342035|1</t>
  </si>
  <si>
    <t>342035</t>
  </si>
  <si>
    <t>22035</t>
  </si>
  <si>
    <t>10001|2140</t>
  </si>
  <si>
    <t>112001|430$10001|1500$342036|1</t>
  </si>
  <si>
    <t>342036</t>
  </si>
  <si>
    <t>321</t>
  </si>
  <si>
    <t>22036</t>
  </si>
  <si>
    <t>112001|430$10001|1500$342037|1</t>
  </si>
  <si>
    <t>342037</t>
  </si>
  <si>
    <t>22037</t>
  </si>
  <si>
    <t>10003|606</t>
  </si>
  <si>
    <t>112001|430$10001|1500$342038|1</t>
  </si>
  <si>
    <t>342038</t>
  </si>
  <si>
    <t>412010</t>
  </si>
  <si>
    <t>22038</t>
  </si>
  <si>
    <t>112001|430$10001|1500$342039|1</t>
  </si>
  <si>
    <t>342039</t>
  </si>
  <si>
    <t>22039</t>
  </si>
  <si>
    <t>112001|430$10001|1500$342040|1</t>
  </si>
  <si>
    <t>342040</t>
  </si>
  <si>
    <t>22040</t>
  </si>
  <si>
    <t>112001|430$10001|1500$342041|1</t>
  </si>
  <si>
    <t>342041</t>
  </si>
  <si>
    <t>23001</t>
  </si>
  <si>
    <t>113001|550$10001|2000$343002|1</t>
  </si>
  <si>
    <t>343002</t>
  </si>
  <si>
    <t>413001</t>
  </si>
  <si>
    <t>23002</t>
  </si>
  <si>
    <t>10004|424</t>
  </si>
  <si>
    <t>113001|550$10001|2000$343003|1</t>
  </si>
  <si>
    <t>343003</t>
  </si>
  <si>
    <t>64</t>
  </si>
  <si>
    <t>23003</t>
  </si>
  <si>
    <t>10001|2254</t>
  </si>
  <si>
    <t>113001|550$10001|2000$343004|1</t>
  </si>
  <si>
    <t>343004</t>
  </si>
  <si>
    <t>338</t>
  </si>
  <si>
    <t>23004</t>
  </si>
  <si>
    <t>10009|641</t>
  </si>
  <si>
    <t>113001|550$10001|2000$343005|1</t>
  </si>
  <si>
    <t>343005</t>
  </si>
  <si>
    <t>96</t>
  </si>
  <si>
    <t>23005</t>
  </si>
  <si>
    <t>10003|788</t>
  </si>
  <si>
    <t>113001|550$10001|2000$343006|1</t>
  </si>
  <si>
    <t>343006</t>
  </si>
  <si>
    <t>413002</t>
  </si>
  <si>
    <t>118</t>
  </si>
  <si>
    <t>23006</t>
  </si>
  <si>
    <t>10004|398</t>
  </si>
  <si>
    <t>113001|550$10001|2000$343007|1</t>
  </si>
  <si>
    <t>343007</t>
  </si>
  <si>
    <t>60</t>
  </si>
  <si>
    <t>23007</t>
  </si>
  <si>
    <t>10001|2103</t>
  </si>
  <si>
    <t>113001|550$10001|2000$343008|1</t>
  </si>
  <si>
    <t>343008</t>
  </si>
  <si>
    <t>316</t>
  </si>
  <si>
    <t>23008</t>
  </si>
  <si>
    <t>113001|550$10001|2000$343009|1</t>
  </si>
  <si>
    <t>343009</t>
  </si>
  <si>
    <t>23009</t>
  </si>
  <si>
    <t>10003|706</t>
  </si>
  <si>
    <t>113001|550$10001|2000$343010|1</t>
  </si>
  <si>
    <t>343010</t>
  </si>
  <si>
    <t>413003</t>
  </si>
  <si>
    <t>106</t>
  </si>
  <si>
    <t>23010</t>
  </si>
  <si>
    <t>113001|550$10001|2000$343011|1</t>
  </si>
  <si>
    <t>343011</t>
  </si>
  <si>
    <t>23011</t>
  </si>
  <si>
    <t>10001|1985</t>
  </si>
  <si>
    <t>113001|550$10001|2000$343012|1</t>
  </si>
  <si>
    <t>343012</t>
  </si>
  <si>
    <t>298</t>
  </si>
  <si>
    <t>23012</t>
  </si>
  <si>
    <t>113001|550$10001|2000$343013|1</t>
  </si>
  <si>
    <t>343013</t>
  </si>
  <si>
    <t>23013</t>
  </si>
  <si>
    <t>10003|609</t>
  </si>
  <si>
    <t>113001|550$10001|2000$343014|1</t>
  </si>
  <si>
    <t>343014</t>
  </si>
  <si>
    <t>413004</t>
  </si>
  <si>
    <t>92</t>
  </si>
  <si>
    <t>23014</t>
  </si>
  <si>
    <t>10004|454</t>
  </si>
  <si>
    <t>113001|550$10001|2000$343015|1</t>
  </si>
  <si>
    <t>343015</t>
  </si>
  <si>
    <t>23015</t>
  </si>
  <si>
    <t>10001|2288</t>
  </si>
  <si>
    <t>113001|550$10001|2000$343016|1</t>
  </si>
  <si>
    <t>343016</t>
  </si>
  <si>
    <t>343</t>
  </si>
  <si>
    <t>23016</t>
  </si>
  <si>
    <t>113001|550$10001|2000$343017|1</t>
  </si>
  <si>
    <t>343017</t>
  </si>
  <si>
    <t>23017</t>
  </si>
  <si>
    <t>10003|448</t>
  </si>
  <si>
    <t>113001|550$10001|2000$343018|1</t>
  </si>
  <si>
    <t>343018</t>
  </si>
  <si>
    <t>413005</t>
  </si>
  <si>
    <t>67</t>
  </si>
  <si>
    <t>23018</t>
  </si>
  <si>
    <t>10004|534</t>
  </si>
  <si>
    <t>113001|550$10001|2000$343019|1</t>
  </si>
  <si>
    <t>343019</t>
  </si>
  <si>
    <t>80</t>
  </si>
  <si>
    <t>23019</t>
  </si>
  <si>
    <t>10001|2706</t>
  </si>
  <si>
    <t>113001|550$10001|2000$343020|1</t>
  </si>
  <si>
    <t>343020</t>
  </si>
  <si>
    <t>406</t>
  </si>
  <si>
    <t>23020</t>
  </si>
  <si>
    <t>113001|550$10001|2000$343021|1</t>
  </si>
  <si>
    <t>343021</t>
  </si>
  <si>
    <t>23021</t>
  </si>
  <si>
    <t>10003|616</t>
  </si>
  <si>
    <t>113001|550$10001|2000$343022|1</t>
  </si>
  <si>
    <t>343022</t>
  </si>
  <si>
    <t>413006</t>
  </si>
  <si>
    <t>23022</t>
  </si>
  <si>
    <t>10004|452</t>
  </si>
  <si>
    <t>113001|550$10001|2000$343023|1</t>
  </si>
  <si>
    <t>343023</t>
  </si>
  <si>
    <t>23023</t>
  </si>
  <si>
    <t>10001|2282</t>
  </si>
  <si>
    <t>113001|550$10001|2000$343024|1</t>
  </si>
  <si>
    <t>343024</t>
  </si>
  <si>
    <t>342</t>
  </si>
  <si>
    <t>23024</t>
  </si>
  <si>
    <t>113001|550$10001|2000$343025|1</t>
  </si>
  <si>
    <t>343025</t>
  </si>
  <si>
    <t>23025</t>
  </si>
  <si>
    <t>10003|572</t>
  </si>
  <si>
    <t>113001|550$10001|2000$343026|1</t>
  </si>
  <si>
    <t>343026</t>
  </si>
  <si>
    <t>413007</t>
  </si>
  <si>
    <t>86</t>
  </si>
  <si>
    <t>23026</t>
  </si>
  <si>
    <t>113001|550$10001|2000$343027|1</t>
  </si>
  <si>
    <t>343027</t>
  </si>
  <si>
    <t>23027</t>
  </si>
  <si>
    <t>10001|2184</t>
  </si>
  <si>
    <t>113001|550$10001|2000$343028|1</t>
  </si>
  <si>
    <t>343028</t>
  </si>
  <si>
    <t>328</t>
  </si>
  <si>
    <t>23028</t>
  </si>
  <si>
    <t>113001|550$10001|2000$343029|1</t>
  </si>
  <si>
    <t>343029</t>
  </si>
  <si>
    <t>23029</t>
  </si>
  <si>
    <t>10003|532</t>
  </si>
  <si>
    <t>113001|550$10001|2000$343030|1</t>
  </si>
  <si>
    <t>343030</t>
  </si>
  <si>
    <t>413008</t>
  </si>
  <si>
    <t>23030</t>
  </si>
  <si>
    <t>10004|483</t>
  </si>
  <si>
    <t>113001|550$10001|2000$343031|1</t>
  </si>
  <si>
    <t>343031</t>
  </si>
  <si>
    <t>73</t>
  </si>
  <si>
    <t>23031</t>
  </si>
  <si>
    <t>10001|2751</t>
  </si>
  <si>
    <t>113001|550$10001|2000$343032|1</t>
  </si>
  <si>
    <t>343032</t>
  </si>
  <si>
    <t>413</t>
  </si>
  <si>
    <t>23032</t>
  </si>
  <si>
    <t>113001|550$10001|2000$343033|1</t>
  </si>
  <si>
    <t>343033</t>
  </si>
  <si>
    <t>23033</t>
  </si>
  <si>
    <t>113001|550$10001|2000$343034|1</t>
  </si>
  <si>
    <t>343034</t>
  </si>
  <si>
    <t>413009</t>
  </si>
  <si>
    <t>23034</t>
  </si>
  <si>
    <t>10004|504</t>
  </si>
  <si>
    <t>113001|550$10001|2000$343035|1</t>
  </si>
  <si>
    <t>343035</t>
  </si>
  <si>
    <t>23035</t>
  </si>
  <si>
    <t>10001|2496</t>
  </si>
  <si>
    <t>113001|550$10001|2000$343036|1</t>
  </si>
  <si>
    <t>343036</t>
  </si>
  <si>
    <t>375</t>
  </si>
  <si>
    <t>23036</t>
  </si>
  <si>
    <t>113001|550$10001|2000$343037|1</t>
  </si>
  <si>
    <t>343037</t>
  </si>
  <si>
    <t>23037</t>
  </si>
  <si>
    <t>10003|707</t>
  </si>
  <si>
    <t>113001|550$10001|2000$343038|1</t>
  </si>
  <si>
    <t>343038</t>
  </si>
  <si>
    <t>413010</t>
  </si>
  <si>
    <t>23038</t>
  </si>
  <si>
    <t>113001|550$10001|2000$343039|1</t>
  </si>
  <si>
    <t>343039</t>
  </si>
  <si>
    <t>23039</t>
  </si>
  <si>
    <t>113001|550$10001|2000$343040|1</t>
  </si>
  <si>
    <t>343040</t>
  </si>
  <si>
    <t>23040</t>
  </si>
  <si>
    <t>113001|550$10001|2000$343041|1</t>
  </si>
  <si>
    <t>343041</t>
  </si>
  <si>
    <t>24001</t>
  </si>
  <si>
    <t>114001|1100$10001|2500$344002|1</t>
  </si>
  <si>
    <t>344002</t>
  </si>
  <si>
    <t>414001</t>
  </si>
  <si>
    <t>24002</t>
  </si>
  <si>
    <t>10004|484</t>
  </si>
  <si>
    <t>114001|1100$10001|2500$344003|1</t>
  </si>
  <si>
    <t>344003</t>
  </si>
  <si>
    <t>24003</t>
  </si>
  <si>
    <t>10001|2576</t>
  </si>
  <si>
    <t>114001|1100$10001|2500$344004|1</t>
  </si>
  <si>
    <t>344004</t>
  </si>
  <si>
    <t>386</t>
  </si>
  <si>
    <t>24004</t>
  </si>
  <si>
    <t>10009|733</t>
  </si>
  <si>
    <t>114001|1100$10001|2500$344005|1</t>
  </si>
  <si>
    <t>344005</t>
  </si>
  <si>
    <t>110</t>
  </si>
  <si>
    <t>24005</t>
  </si>
  <si>
    <t>10003|900</t>
  </si>
  <si>
    <t>114001|1100$10001|2500$344006|1</t>
  </si>
  <si>
    <t>344006</t>
  </si>
  <si>
    <t>414002</t>
  </si>
  <si>
    <t>135</t>
  </si>
  <si>
    <t>24006</t>
  </si>
  <si>
    <t>10004|455</t>
  </si>
  <si>
    <t>114001|1100$10001|2500$344007|1</t>
  </si>
  <si>
    <t>344007</t>
  </si>
  <si>
    <t>24007</t>
  </si>
  <si>
    <t>10001|2403</t>
  </si>
  <si>
    <t>114001|1100$10001|2500$344008|1</t>
  </si>
  <si>
    <t>344008</t>
  </si>
  <si>
    <t>361</t>
  </si>
  <si>
    <t>24008</t>
  </si>
  <si>
    <t>114001|1100$10001|2500$344009|1</t>
  </si>
  <si>
    <t>344009</t>
  </si>
  <si>
    <t>24009</t>
  </si>
  <si>
    <t>10003|807</t>
  </si>
  <si>
    <t>114001|1100$10001|2500$344010|1</t>
  </si>
  <si>
    <t>344010</t>
  </si>
  <si>
    <t>414003</t>
  </si>
  <si>
    <t>121</t>
  </si>
  <si>
    <t>24010</t>
  </si>
  <si>
    <t>114001|1100$10001|2500$344011|1</t>
  </si>
  <si>
    <t>344011</t>
  </si>
  <si>
    <t>24011</t>
  </si>
  <si>
    <t>10001|2269</t>
  </si>
  <si>
    <t>114001|1100$10001|2500$344012|1</t>
  </si>
  <si>
    <t>344012</t>
  </si>
  <si>
    <t>340</t>
  </si>
  <si>
    <t>24012</t>
  </si>
  <si>
    <t>114001|1100$10001|2500$344013|1</t>
  </si>
  <si>
    <t>344013</t>
  </si>
  <si>
    <t>24013</t>
  </si>
  <si>
    <t>10003|696</t>
  </si>
  <si>
    <t>114001|1100$10001|2500$344014|1</t>
  </si>
  <si>
    <t>344014</t>
  </si>
  <si>
    <t>414004</t>
  </si>
  <si>
    <t>105</t>
  </si>
  <si>
    <t>24014</t>
  </si>
  <si>
    <t>10004|519</t>
  </si>
  <si>
    <t>114001|1100$10001|2500$344015|1</t>
  </si>
  <si>
    <t>344015</t>
  </si>
  <si>
    <t>24015</t>
  </si>
  <si>
    <t>10001|2615</t>
  </si>
  <si>
    <t>114001|1100$10001|2500$344016|1</t>
  </si>
  <si>
    <t>344016</t>
  </si>
  <si>
    <t>392</t>
  </si>
  <si>
    <t>24016</t>
  </si>
  <si>
    <t>114001|1100$10001|2500$344017|1</t>
  </si>
  <si>
    <t>344017</t>
  </si>
  <si>
    <t>24017</t>
  </si>
  <si>
    <t>10003|512</t>
  </si>
  <si>
    <t>114001|1100$10001|2500$344018|1</t>
  </si>
  <si>
    <t>344018</t>
  </si>
  <si>
    <t>414005</t>
  </si>
  <si>
    <t>77</t>
  </si>
  <si>
    <t>24018</t>
  </si>
  <si>
    <t>10004|610</t>
  </si>
  <si>
    <t>114001|1100$10001|2500$344019|1</t>
  </si>
  <si>
    <t>344019</t>
  </si>
  <si>
    <t>24019</t>
  </si>
  <si>
    <t>10001|3092</t>
  </si>
  <si>
    <t>114001|1100$10001|2500$344020|1</t>
  </si>
  <si>
    <t>344020</t>
  </si>
  <si>
    <t>464</t>
  </si>
  <si>
    <t>24020</t>
  </si>
  <si>
    <t>114001|1100$10001|2500$344021|1</t>
  </si>
  <si>
    <t>344021</t>
  </si>
  <si>
    <t>24021</t>
  </si>
  <si>
    <t>10003|704</t>
  </si>
  <si>
    <t>114001|1100$10001|2500$344022|1</t>
  </si>
  <si>
    <t>344022</t>
  </si>
  <si>
    <t>414006</t>
  </si>
  <si>
    <t>24022</t>
  </si>
  <si>
    <t>10004|516</t>
  </si>
  <si>
    <t>114001|1100$10001|2500$344023|1</t>
  </si>
  <si>
    <t>344023</t>
  </si>
  <si>
    <t>24023</t>
  </si>
  <si>
    <t>10001|2608</t>
  </si>
  <si>
    <t>114001|1100$10001|2500$344024|1</t>
  </si>
  <si>
    <t>344024</t>
  </si>
  <si>
    <t>391</t>
  </si>
  <si>
    <t>24024</t>
  </si>
  <si>
    <t>114001|1100$10001|2500$344025|1</t>
  </si>
  <si>
    <t>344025</t>
  </si>
  <si>
    <t>24025</t>
  </si>
  <si>
    <t>10003|654</t>
  </si>
  <si>
    <t>114001|1100$10001|2500$344026|1</t>
  </si>
  <si>
    <t>344026</t>
  </si>
  <si>
    <t>414007</t>
  </si>
  <si>
    <t>98</t>
  </si>
  <si>
    <t>24026</t>
  </si>
  <si>
    <t>114001|1100$10001|2500$344027|1</t>
  </si>
  <si>
    <t>344027</t>
  </si>
  <si>
    <t>24027</t>
  </si>
  <si>
    <t>114001|1100$10001|2500$344028|1</t>
  </si>
  <si>
    <t>344028</t>
  </si>
  <si>
    <t>374</t>
  </si>
  <si>
    <t>24028</t>
  </si>
  <si>
    <t>114001|1100$10001|2500$344029|1</t>
  </si>
  <si>
    <t>344029</t>
  </si>
  <si>
    <t>24029</t>
  </si>
  <si>
    <t>114001|1100$10001|2500$344030|1</t>
  </si>
  <si>
    <t>344030</t>
  </si>
  <si>
    <t>414008</t>
  </si>
  <si>
    <t>24030</t>
  </si>
  <si>
    <t>10004|552</t>
  </si>
  <si>
    <t>114001|1100$10001|2500$344031|1</t>
  </si>
  <si>
    <t>344031</t>
  </si>
  <si>
    <t>83</t>
  </si>
  <si>
    <t>24031</t>
  </si>
  <si>
    <t>10001|3144</t>
  </si>
  <si>
    <t>114001|1100$10001|2500$344032|1</t>
  </si>
  <si>
    <t>344032</t>
  </si>
  <si>
    <t>472</t>
  </si>
  <si>
    <t>24032</t>
  </si>
  <si>
    <t>114001|1100$10001|2500$344033|1</t>
  </si>
  <si>
    <t>344033</t>
  </si>
  <si>
    <t>24033</t>
  </si>
  <si>
    <t>114001|1100$10001|2500$344034|1</t>
  </si>
  <si>
    <t>344034</t>
  </si>
  <si>
    <t>414009</t>
  </si>
  <si>
    <t>24034</t>
  </si>
  <si>
    <t>10004|576</t>
  </si>
  <si>
    <t>114001|1100$10001|2500$344035|1</t>
  </si>
  <si>
    <t>344035</t>
  </si>
  <si>
    <t>24035</t>
  </si>
  <si>
    <t>10001|2853</t>
  </si>
  <si>
    <t>114001|1100$10001|2500$344036|1</t>
  </si>
  <si>
    <t>344036</t>
  </si>
  <si>
    <t>428</t>
  </si>
  <si>
    <t>24036</t>
  </si>
  <si>
    <t>114001|1100$10001|2500$344037|1</t>
  </si>
  <si>
    <t>344037</t>
  </si>
  <si>
    <t>24037</t>
  </si>
  <si>
    <t>10003|808</t>
  </si>
  <si>
    <t>114001|1100$10001|2500$344038|1</t>
  </si>
  <si>
    <t>344038</t>
  </si>
  <si>
    <t>414010</t>
  </si>
  <si>
    <t>122</t>
  </si>
  <si>
    <t>24038</t>
  </si>
  <si>
    <t>114001|1100$10001|2500$344039|1</t>
  </si>
  <si>
    <t>344039</t>
  </si>
  <si>
    <t>24039</t>
  </si>
  <si>
    <t>114001|1100$10001|2500$344040|1</t>
  </si>
  <si>
    <t>344040</t>
  </si>
  <si>
    <t>24040</t>
  </si>
  <si>
    <t>114001|1100$10001|2500$344041|1</t>
  </si>
  <si>
    <t>344041</t>
  </si>
  <si>
    <t>25001</t>
  </si>
  <si>
    <t>115001|1655$10001|3000$345002|1</t>
  </si>
  <si>
    <t>345002</t>
  </si>
  <si>
    <t>415001</t>
  </si>
  <si>
    <t>25002</t>
  </si>
  <si>
    <t>10004|605</t>
  </si>
  <si>
    <t>115001|1655$10001|3000$345003|1</t>
  </si>
  <si>
    <t>345003</t>
  </si>
  <si>
    <t>25003</t>
  </si>
  <si>
    <t>10001|3220</t>
  </si>
  <si>
    <t>115001|1655$10001|3000$345004|1</t>
  </si>
  <si>
    <t>345004</t>
  </si>
  <si>
    <t>483</t>
  </si>
  <si>
    <t>25004</t>
  </si>
  <si>
    <t>10009|916</t>
  </si>
  <si>
    <t>115001|1655$10001|3000$345005|1</t>
  </si>
  <si>
    <t>345005</t>
  </si>
  <si>
    <t>137</t>
  </si>
  <si>
    <t>25005</t>
  </si>
  <si>
    <t>10003|1125</t>
  </si>
  <si>
    <t>115001|1655$10001|3000$345006|1</t>
  </si>
  <si>
    <t>345006</t>
  </si>
  <si>
    <t>415002</t>
  </si>
  <si>
    <t>169</t>
  </si>
  <si>
    <t>25006</t>
  </si>
  <si>
    <t>10004|569</t>
  </si>
  <si>
    <t>115001|1655$10001|3000$345007|1</t>
  </si>
  <si>
    <t>345007</t>
  </si>
  <si>
    <t>25007</t>
  </si>
  <si>
    <t>10001|3004</t>
  </si>
  <si>
    <t>115001|1655$10001|3000$345008|1</t>
  </si>
  <si>
    <t>345008</t>
  </si>
  <si>
    <t>451</t>
  </si>
  <si>
    <t>25008</t>
  </si>
  <si>
    <t>115001|1655$10001|3000$345009|1</t>
  </si>
  <si>
    <t>345009</t>
  </si>
  <si>
    <t>25009</t>
  </si>
  <si>
    <t>10003|1009</t>
  </si>
  <si>
    <t>115001|1655$10001|3000$345010|1</t>
  </si>
  <si>
    <t>345010</t>
  </si>
  <si>
    <t>415003</t>
  </si>
  <si>
    <t>151</t>
  </si>
  <si>
    <t>25010</t>
  </si>
  <si>
    <t>115001|1655$10001|3000$345011|1</t>
  </si>
  <si>
    <t>345011</t>
  </si>
  <si>
    <t>25011</t>
  </si>
  <si>
    <t>10001|2836</t>
  </si>
  <si>
    <t>115001|1655$10001|3000$345012|1</t>
  </si>
  <si>
    <t>345012</t>
  </si>
  <si>
    <t>425</t>
  </si>
  <si>
    <t>25012</t>
  </si>
  <si>
    <t>115001|1655$10001|3000$345013|1</t>
  </si>
  <si>
    <t>345013</t>
  </si>
  <si>
    <t>25013</t>
  </si>
  <si>
    <t>10003|870</t>
  </si>
  <si>
    <t>115001|1655$10001|3000$345014|1</t>
  </si>
  <si>
    <t>345014</t>
  </si>
  <si>
    <t>415004</t>
  </si>
  <si>
    <t>131</t>
  </si>
  <si>
    <t>25014</t>
  </si>
  <si>
    <t>10004|649</t>
  </si>
  <si>
    <t>115001|1655$10001|3000$345015|1</t>
  </si>
  <si>
    <t>345015</t>
  </si>
  <si>
    <t>97</t>
  </si>
  <si>
    <t>25015</t>
  </si>
  <si>
    <t>10001|3269</t>
  </si>
  <si>
    <t>115001|1655$10001|3000$345016|1</t>
  </si>
  <si>
    <t>345016</t>
  </si>
  <si>
    <t>490</t>
  </si>
  <si>
    <t>25016</t>
  </si>
  <si>
    <t>115001|1655$10001|3000$345017|1</t>
  </si>
  <si>
    <t>345017</t>
  </si>
  <si>
    <t>25017</t>
  </si>
  <si>
    <t>10003|640</t>
  </si>
  <si>
    <t>115001|1655$10001|3000$345018|1</t>
  </si>
  <si>
    <t>345018</t>
  </si>
  <si>
    <t>415005</t>
  </si>
  <si>
    <t>25018</t>
  </si>
  <si>
    <t>10004|763</t>
  </si>
  <si>
    <t>115001|1655$10001|3000$345019|1</t>
  </si>
  <si>
    <t>345019</t>
  </si>
  <si>
    <t>114</t>
  </si>
  <si>
    <t>25019</t>
  </si>
  <si>
    <t>10001|3865</t>
  </si>
  <si>
    <t>115001|1655$10001|3000$345020|1</t>
  </si>
  <si>
    <t>345020</t>
  </si>
  <si>
    <t>580</t>
  </si>
  <si>
    <t>25020</t>
  </si>
  <si>
    <t>115001|1655$10001|3000$345021|1</t>
  </si>
  <si>
    <t>345021</t>
  </si>
  <si>
    <t>25021</t>
  </si>
  <si>
    <t>10003|880</t>
  </si>
  <si>
    <t>115001|1655$10001|3000$345022|1</t>
  </si>
  <si>
    <t>345022</t>
  </si>
  <si>
    <t>415006</t>
  </si>
  <si>
    <t>132</t>
  </si>
  <si>
    <t>25022</t>
  </si>
  <si>
    <t>10004|645</t>
  </si>
  <si>
    <t>115001|1655$10001|3000$345023|1</t>
  </si>
  <si>
    <t>345023</t>
  </si>
  <si>
    <t>25023</t>
  </si>
  <si>
    <t>10001|3260</t>
  </si>
  <si>
    <t>115001|1655$10001|3000$345024|1</t>
  </si>
  <si>
    <t>345024</t>
  </si>
  <si>
    <t>489</t>
  </si>
  <si>
    <t>25024</t>
  </si>
  <si>
    <t>115001|1655$10001|3000$345025|1</t>
  </si>
  <si>
    <t>345025</t>
  </si>
  <si>
    <t>25025</t>
  </si>
  <si>
    <t>10003|817</t>
  </si>
  <si>
    <t>115001|1655$10001|3000$345026|1</t>
  </si>
  <si>
    <t>345026</t>
  </si>
  <si>
    <t>415007</t>
  </si>
  <si>
    <t>123</t>
  </si>
  <si>
    <t>25026</t>
  </si>
  <si>
    <t>115001|1655$10001|3000$345027|1</t>
  </si>
  <si>
    <t>345027</t>
  </si>
  <si>
    <t>25027</t>
  </si>
  <si>
    <t>10001|3120</t>
  </si>
  <si>
    <t>115001|1655$10001|3000$345028|1</t>
  </si>
  <si>
    <t>345028</t>
  </si>
  <si>
    <t>468</t>
  </si>
  <si>
    <t>25028</t>
  </si>
  <si>
    <t>115001|1655$10001|3000$345029|1</t>
  </si>
  <si>
    <t>345029</t>
  </si>
  <si>
    <t>25029</t>
  </si>
  <si>
    <t>10003|760</t>
  </si>
  <si>
    <t>115001|1655$10001|3000$345030|1</t>
  </si>
  <si>
    <t>345030</t>
  </si>
  <si>
    <t>415008</t>
  </si>
  <si>
    <t>25030</t>
  </si>
  <si>
    <t>10004|690</t>
  </si>
  <si>
    <t>115001|1655$10001|3000$345031|1</t>
  </si>
  <si>
    <t>345031</t>
  </si>
  <si>
    <t>25031</t>
  </si>
  <si>
    <t>10001|3930</t>
  </si>
  <si>
    <t>115001|1655$10001|3000$345032|1</t>
  </si>
  <si>
    <t>345032</t>
  </si>
  <si>
    <t>590</t>
  </si>
  <si>
    <t>25032</t>
  </si>
  <si>
    <t>115001|1655$10001|3000$345033|1</t>
  </si>
  <si>
    <t>345033</t>
  </si>
  <si>
    <t>25033</t>
  </si>
  <si>
    <t>115001|1655$10001|3000$345034|1</t>
  </si>
  <si>
    <t>345034</t>
  </si>
  <si>
    <t>415009</t>
  </si>
  <si>
    <t>25034</t>
  </si>
  <si>
    <t>10004|720</t>
  </si>
  <si>
    <t>115001|1655$10001|3000$345035|1</t>
  </si>
  <si>
    <t>345035</t>
  </si>
  <si>
    <t>25035</t>
  </si>
  <si>
    <t>10001|3566</t>
  </si>
  <si>
    <t>115001|1655$10001|3000$345036|1</t>
  </si>
  <si>
    <t>345036</t>
  </si>
  <si>
    <t>535</t>
  </si>
  <si>
    <t>25036</t>
  </si>
  <si>
    <t>115001|1655$10001|3000$345037|1</t>
  </si>
  <si>
    <t>345037</t>
  </si>
  <si>
    <t>25037</t>
  </si>
  <si>
    <t>10003|1010</t>
  </si>
  <si>
    <t>115001|1655$10001|3000$345038|1</t>
  </si>
  <si>
    <t>345038</t>
  </si>
  <si>
    <t>415010</t>
  </si>
  <si>
    <t>152</t>
  </si>
  <si>
    <t>25038</t>
  </si>
  <si>
    <t>115001|1655$10001|3000$345039|1</t>
  </si>
  <si>
    <t>345039</t>
  </si>
  <si>
    <t>25039</t>
  </si>
  <si>
    <t>115001|1655$10001|3000$345040|1</t>
  </si>
  <si>
    <t>345040</t>
  </si>
  <si>
    <t>25040</t>
  </si>
  <si>
    <t>115001|1655$10001|3000$345041|1</t>
  </si>
  <si>
    <t>345041</t>
  </si>
  <si>
    <t>帝血长空刀</t>
  </si>
  <si>
    <t>帝血狂鲸甲</t>
  </si>
  <si>
    <t>帝血纵云靴</t>
  </si>
  <si>
    <t>帝血浮生珠</t>
  </si>
  <si>
    <t>九转天龙枪</t>
  </si>
  <si>
    <t>云龙亮银甲</t>
  </si>
  <si>
    <t>四海玉龙靴</t>
  </si>
  <si>
    <t>黑龙玄牡珠</t>
  </si>
  <si>
    <t>太上神风剑</t>
  </si>
  <si>
    <t>玉虚须弥甲</t>
  </si>
  <si>
    <t>太上清风靴</t>
  </si>
  <si>
    <t>万仙轮回玉</t>
  </si>
  <si>
    <t>元始天尊剑</t>
  </si>
  <si>
    <t>元始涅槃甲</t>
  </si>
  <si>
    <t>元始瞬空靴</t>
  </si>
  <si>
    <t>元始浮屠珠</t>
  </si>
  <si>
    <t>万海玄冥鼎</t>
  </si>
  <si>
    <t>北冥玄武甲</t>
  </si>
  <si>
    <t>巨山开天靴</t>
  </si>
  <si>
    <t>幻海潮汐珠</t>
  </si>
  <si>
    <t>飞云玉花刀</t>
  </si>
  <si>
    <t>羽化鹤翎衣</t>
  </si>
  <si>
    <t>云卷曼妙靴</t>
  </si>
  <si>
    <t>红尘飞云坠</t>
  </si>
  <si>
    <t>月华流光镜</t>
  </si>
  <si>
    <t>月莹飞仙衣</t>
  </si>
  <si>
    <t>皓月空照靴</t>
  </si>
  <si>
    <t>月华枫露珠</t>
  </si>
  <si>
    <t>乙木长生鼎</t>
  </si>
  <si>
    <t>万年青木袍</t>
  </si>
  <si>
    <t>众生灵功靴</t>
  </si>
  <si>
    <t>回春木辉珠</t>
  </si>
  <si>
    <t>不灭玄骨镜</t>
  </si>
  <si>
    <t>万骨幽冥铠</t>
  </si>
  <si>
    <t>紫骨宝玉靴</t>
  </si>
  <si>
    <t>帝骨无相珠</t>
  </si>
  <si>
    <t>洪荒斩圣枪</t>
  </si>
  <si>
    <t>洪荒天妖铠</t>
  </si>
  <si>
    <t>洪荒百战靴</t>
  </si>
  <si>
    <t>洪荒天命珠</t>
  </si>
  <si>
    <t>初始值</t>
  </si>
  <si>
    <t>每级增长</t>
  </si>
  <si>
    <t>每级攻击变化</t>
  </si>
  <si>
    <t>每级变化</t>
  </si>
  <si>
    <t>血云仙刀</t>
  </si>
  <si>
    <t>血云仙衣</t>
  </si>
  <si>
    <t>血云仙靴</t>
  </si>
  <si>
    <t>血云仙珠</t>
  </si>
  <si>
    <t>七转龙枪</t>
  </si>
  <si>
    <t>云龙银甲</t>
  </si>
  <si>
    <t>四海龙靴</t>
  </si>
  <si>
    <t>黑龙玄珠</t>
  </si>
  <si>
    <t>神风飞剑</t>
  </si>
  <si>
    <t>须弥战甲</t>
  </si>
  <si>
    <t>清风轻靴</t>
  </si>
  <si>
    <t>千仙宝玉</t>
  </si>
  <si>
    <t>天尊宝剑</t>
  </si>
  <si>
    <t>涅槃战甲</t>
  </si>
  <si>
    <t>瞬空法靴</t>
  </si>
  <si>
    <t>浮屠宝珠</t>
  </si>
  <si>
    <t>千海巨鼎</t>
  </si>
  <si>
    <t>北冥战甲</t>
  </si>
  <si>
    <t>开山靴</t>
  </si>
  <si>
    <t>幻海仙珠</t>
  </si>
  <si>
    <t>天云花刀</t>
  </si>
  <si>
    <t>羽化鹤衣</t>
  </si>
  <si>
    <t>云卷轻靴</t>
  </si>
  <si>
    <t>红尘宝坠</t>
  </si>
  <si>
    <t>月华光镜</t>
  </si>
  <si>
    <t>月莹仙衣</t>
  </si>
  <si>
    <t>皓月轻靴</t>
  </si>
  <si>
    <t>枫露玉珠</t>
  </si>
  <si>
    <t>千年木袍</t>
  </si>
  <si>
    <t>众生灵靴</t>
  </si>
  <si>
    <t>木辉宝珠</t>
  </si>
  <si>
    <t>不灭骨镜</t>
  </si>
  <si>
    <t>幽冥骨铠</t>
  </si>
  <si>
    <t>紫骨宝靴</t>
  </si>
  <si>
    <t>皇骨宝珠</t>
  </si>
  <si>
    <t>洪荒圣枪</t>
  </si>
  <si>
    <t>洪荒妖铠</t>
  </si>
  <si>
    <t>洪荒战靴</t>
  </si>
  <si>
    <t>洪荒法珠</t>
  </si>
  <si>
    <t>血云刀</t>
  </si>
  <si>
    <t>血云衣</t>
  </si>
  <si>
    <t>血云靴</t>
  </si>
  <si>
    <t>血云珠</t>
  </si>
  <si>
    <t>金龙枪</t>
  </si>
  <si>
    <t>银龙甲</t>
  </si>
  <si>
    <t>海龙靴</t>
  </si>
  <si>
    <t>黑龙珠</t>
  </si>
  <si>
    <t>神风剑</t>
  </si>
  <si>
    <t>须弥甲</t>
  </si>
  <si>
    <t>清风靴</t>
  </si>
  <si>
    <t>百仙玉</t>
  </si>
  <si>
    <t>天尊剑</t>
  </si>
  <si>
    <t>涅槃甲</t>
  </si>
  <si>
    <t>瞬空靴</t>
  </si>
  <si>
    <t>浮屠珠</t>
  </si>
  <si>
    <t>百海鼎</t>
  </si>
  <si>
    <t>北冥甲</t>
  </si>
  <si>
    <t>幻海珠</t>
  </si>
  <si>
    <t>天云刀</t>
  </si>
  <si>
    <t>羽化衣</t>
  </si>
  <si>
    <t>云卷靴</t>
  </si>
  <si>
    <t>红尘坠</t>
  </si>
  <si>
    <t>月华镜</t>
  </si>
  <si>
    <t>月莹衣</t>
  </si>
  <si>
    <t>皓月靴</t>
  </si>
  <si>
    <t>枫露珠</t>
  </si>
  <si>
    <t>长生鼎</t>
  </si>
  <si>
    <t>百木袍</t>
  </si>
  <si>
    <t>灵生靴</t>
  </si>
  <si>
    <t>木辉珠</t>
  </si>
  <si>
    <t>枯骨镜</t>
  </si>
  <si>
    <t>幽冥铠</t>
  </si>
  <si>
    <t>紫骨靴</t>
  </si>
  <si>
    <t>王骨珠</t>
  </si>
  <si>
    <t>洪荒枪</t>
  </si>
  <si>
    <t>洪荒铠</t>
  </si>
  <si>
    <t>洪荒靴</t>
  </si>
  <si>
    <t>洪荒珠</t>
  </si>
  <si>
    <t>万位</t>
  </si>
  <si>
    <t>物品类型</t>
  </si>
  <si>
    <t>举例</t>
  </si>
  <si>
    <t>千位</t>
  </si>
  <si>
    <t>装备阶级</t>
  </si>
  <si>
    <t>百位</t>
  </si>
  <si>
    <t>装备类型</t>
  </si>
  <si>
    <t>戒</t>
  </si>
  <si>
    <t>十位以下</t>
  </si>
  <si>
    <t>具体装备</t>
  </si>
  <si>
    <t>凡</t>
  </si>
  <si>
    <t>黄</t>
  </si>
  <si>
    <t>玄</t>
  </si>
  <si>
    <t>地</t>
  </si>
  <si>
    <t>天</t>
  </si>
  <si>
    <t>每5级属性id</t>
  </si>
  <si>
    <t>每5级随机属性</t>
  </si>
  <si>
    <t>灵石</t>
  </si>
  <si>
    <t>需要灵石</t>
  </si>
  <si>
    <t>凡级</t>
  </si>
  <si>
    <t>黄级</t>
  </si>
  <si>
    <t>玄级</t>
  </si>
  <si>
    <t>地级</t>
  </si>
  <si>
    <t>天级</t>
  </si>
  <si>
    <t>K</t>
  </si>
  <si>
    <t>A</t>
  </si>
  <si>
    <t>t</t>
  </si>
  <si>
    <t>y(t)</t>
  </si>
  <si>
    <t>炼制需要矿</t>
  </si>
  <si>
    <t>炼制需要灵石</t>
  </si>
  <si>
    <t>强化需要矿</t>
  </si>
  <si>
    <t>强化需要灵石</t>
  </si>
  <si>
    <t>强化需要器火</t>
  </si>
  <si>
    <t>强满一个装备需要矿</t>
  </si>
  <si>
    <t>需要矿</t>
  </si>
  <si>
    <t>需要器火</t>
  </si>
  <si>
    <t>需要同类武器</t>
  </si>
  <si>
    <t>四海玉龙靴子</t>
  </si>
  <si>
    <t>base剑</t>
  </si>
  <si>
    <t>base甲</t>
  </si>
  <si>
    <t>改后剑</t>
  </si>
  <si>
    <t>改后甲</t>
  </si>
  <si>
    <t>转换后</t>
  </si>
  <si>
    <t>血云攻</t>
  </si>
  <si>
    <t>需要攻</t>
  </si>
  <si>
    <t>乘积</t>
  </si>
  <si>
    <t>血云防</t>
  </si>
  <si>
    <t>需要防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</si>
</sst>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2"/>
      <color rgb="FF111111"/>
      <name val="Segoe UI"/>
      <charset val="134"/>
    </font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sz val="10.5"/>
      <name val="宋体"/>
      <charset val="134"/>
    </font>
    <font>
      <b/>
      <sz val="10.5"/>
      <name val="宋体"/>
      <charset val="134"/>
    </font>
    <font>
      <b/>
      <sz val="10.5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1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2" borderId="4" applyNumberFormat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3" fillId="23" borderId="4" applyNumberFormat="0" applyAlignment="0" applyProtection="0">
      <alignment vertical="center"/>
    </xf>
    <xf numFmtId="0" fontId="24" fillId="24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</cellStyleXfs>
  <cellXfs count="8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left" vertical="center" wrapText="1" indent="1"/>
    </xf>
    <xf numFmtId="0" fontId="0" fillId="3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176" fontId="0" fillId="5" borderId="0" xfId="0" applyNumberFormat="1" applyFill="1" applyAlignment="1">
      <alignment vertical="center" wrapText="1"/>
    </xf>
    <xf numFmtId="0" fontId="0" fillId="6" borderId="0" xfId="0" applyFill="1" applyAlignment="1">
      <alignment vertical="center" wrapText="1"/>
    </xf>
    <xf numFmtId="176" fontId="0" fillId="6" borderId="0" xfId="0" applyNumberForma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6" fontId="4" fillId="0" borderId="0" xfId="0" applyNumberFormat="1" applyFont="1" applyAlignment="1">
      <alignment vertical="center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9" borderId="0" xfId="0" applyFill="1" applyAlignment="1">
      <alignment vertical="center"/>
    </xf>
    <xf numFmtId="0" fontId="0" fillId="14" borderId="0" xfId="0" applyFill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15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14" borderId="0" xfId="0" applyNumberFormat="1" applyFill="1" applyAlignment="1">
      <alignment vertical="center" wrapText="1"/>
    </xf>
    <xf numFmtId="49" fontId="0" fillId="9" borderId="0" xfId="0" applyNumberFormat="1" applyFill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16" borderId="0" xfId="0" applyNumberFormat="1" applyFill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0" fillId="0" borderId="0" xfId="0">
      <alignment vertical="center"/>
    </xf>
    <xf numFmtId="49" fontId="0" fillId="0" borderId="0" xfId="0" applyNumberFormat="1" applyAlignment="1">
      <alignment horizontal="justify" vertical="center"/>
    </xf>
    <xf numFmtId="49" fontId="3" fillId="16" borderId="0" xfId="0" applyNumberFormat="1" applyFont="1" applyFill="1" applyAlignment="1">
      <alignment vertical="top" wrapText="1"/>
    </xf>
    <xf numFmtId="49" fontId="0" fillId="16" borderId="0" xfId="0" applyNumberFormat="1" applyFill="1" applyAlignment="1">
      <alignment vertical="top" wrapText="1"/>
    </xf>
    <xf numFmtId="49" fontId="3" fillId="14" borderId="0" xfId="0" applyNumberFormat="1" applyFont="1" applyFill="1" applyAlignment="1">
      <alignment vertical="center" wrapText="1"/>
    </xf>
    <xf numFmtId="49" fontId="0" fillId="14" borderId="0" xfId="0" applyNumberFormat="1" applyFill="1" applyAlignment="1">
      <alignment horizontal="justify" vertical="center"/>
    </xf>
    <xf numFmtId="49" fontId="3" fillId="14" borderId="0" xfId="0" applyNumberFormat="1" applyFont="1" applyFill="1" applyAlignment="1">
      <alignment vertical="center"/>
    </xf>
    <xf numFmtId="49" fontId="3" fillId="9" borderId="0" xfId="0" applyNumberFormat="1" applyFont="1" applyFill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4" borderId="0" xfId="0" applyNumberFormat="1" applyFont="1" applyFill="1" applyAlignment="1">
      <alignment vertical="center" wrapText="1"/>
    </xf>
    <xf numFmtId="49" fontId="0" fillId="2" borderId="0" xfId="0" applyNumberFormat="1" applyFill="1" applyAlignment="1">
      <alignment wrapText="1"/>
    </xf>
    <xf numFmtId="49" fontId="1" fillId="0" borderId="0" xfId="0" applyNumberFormat="1" applyFont="1" applyAlignment="1">
      <alignment horizontal="justify" vertical="center"/>
    </xf>
    <xf numFmtId="49" fontId="1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/>
    </xf>
    <xf numFmtId="0" fontId="12" fillId="0" borderId="0" xfId="0" applyFont="1" applyAlignment="1">
      <alignment horizontal="justify" vertical="center"/>
    </xf>
    <xf numFmtId="49" fontId="1" fillId="14" borderId="0" xfId="0" applyNumberFormat="1" applyFont="1" applyFill="1" applyAlignment="1">
      <alignment horizontal="justify" vertical="center"/>
    </xf>
    <xf numFmtId="49" fontId="11" fillId="17" borderId="0" xfId="0" applyNumberFormat="1" applyFont="1" applyFill="1" applyAlignment="1">
      <alignment horizontal="left" vertical="center"/>
    </xf>
    <xf numFmtId="49" fontId="0" fillId="14" borderId="0" xfId="0" applyNumberFormat="1" applyFill="1" applyAlignment="1">
      <alignment wrapText="1"/>
    </xf>
    <xf numFmtId="49" fontId="1" fillId="9" borderId="0" xfId="0" applyNumberFormat="1" applyFont="1" applyFill="1" applyAlignment="1">
      <alignment horizontal="justify" vertical="center"/>
    </xf>
    <xf numFmtId="49" fontId="11" fillId="18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justify" vertical="center"/>
    </xf>
    <xf numFmtId="49" fontId="11" fillId="19" borderId="0" xfId="0" applyNumberFormat="1" applyFont="1" applyFill="1" applyAlignment="1">
      <alignment horizontal="left" vertical="center"/>
    </xf>
    <xf numFmtId="49" fontId="1" fillId="16" borderId="0" xfId="0" applyNumberFormat="1" applyFont="1" applyFill="1" applyAlignment="1">
      <alignment horizontal="justify" vertical="center"/>
    </xf>
    <xf numFmtId="49" fontId="11" fillId="20" borderId="0" xfId="0" applyNumberFormat="1" applyFont="1" applyFill="1" applyAlignment="1">
      <alignment horizontal="left" vertical="center"/>
    </xf>
    <xf numFmtId="49" fontId="10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12"/>
  <sheetViews>
    <sheetView tabSelected="1" topLeftCell="J1" workbookViewId="0">
      <pane ySplit="1" topLeftCell="A117" activePane="bottomLeft" state="frozen"/>
      <selection/>
      <selection pane="bottomLeft" activeCell="U122" sqref="U122"/>
    </sheetView>
  </sheetViews>
  <sheetFormatPr defaultColWidth="9" defaultRowHeight="13.5"/>
  <cols>
    <col min="1" max="3" width="9" style="56" customWidth="1"/>
    <col min="4" max="4" width="7.875" style="56" customWidth="1"/>
    <col min="5" max="5" width="11.5" style="56" customWidth="1"/>
    <col min="6" max="7" width="9" style="56" customWidth="1"/>
    <col min="8" max="10" width="12" style="56" customWidth="1"/>
    <col min="11" max="11" width="9" style="56" customWidth="1"/>
    <col min="12" max="12" width="46.375" style="56" customWidth="1"/>
    <col min="13" max="14" width="12.875" style="56" customWidth="1"/>
    <col min="15" max="15" width="33.25" style="56" customWidth="1"/>
    <col min="16" max="16" width="20.5" style="56" customWidth="1"/>
    <col min="17" max="16384" width="9" style="56" customWidth="1"/>
  </cols>
  <sheetData>
    <row r="1" ht="27" customHeight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01.25" customHeight="1" spans="1:19">
      <c r="A2" t="s">
        <v>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</row>
    <row r="3" ht="75" customHeight="1" spans="1:19">
      <c r="A3" t="s">
        <v>21</v>
      </c>
      <c r="B3" s="56" t="s">
        <v>1</v>
      </c>
      <c r="C3" s="56" t="s">
        <v>2</v>
      </c>
      <c r="D3" s="58" t="s">
        <v>3</v>
      </c>
      <c r="E3" s="56" t="s">
        <v>4</v>
      </c>
      <c r="F3" s="56" t="s">
        <v>5</v>
      </c>
      <c r="G3" s="56" t="s">
        <v>6</v>
      </c>
      <c r="H3" s="56" t="s">
        <v>7</v>
      </c>
      <c r="I3" s="56" t="s">
        <v>8</v>
      </c>
      <c r="J3" s="56" t="s">
        <v>9</v>
      </c>
      <c r="K3" s="56" t="s">
        <v>10</v>
      </c>
      <c r="L3" s="56" t="s">
        <v>11</v>
      </c>
      <c r="M3" s="56" t="s">
        <v>12</v>
      </c>
      <c r="N3" s="56" t="s">
        <v>13</v>
      </c>
      <c r="O3" s="56" t="s">
        <v>14</v>
      </c>
      <c r="P3" s="56" t="s">
        <v>15</v>
      </c>
      <c r="Q3" s="56" t="s">
        <v>16</v>
      </c>
      <c r="R3" s="56" t="s">
        <v>17</v>
      </c>
      <c r="S3" s="56" t="s">
        <v>18</v>
      </c>
    </row>
    <row r="4" s="52" customFormat="1" ht="156.75" customHeight="1" spans="1:19">
      <c r="B4" s="56" t="s">
        <v>22</v>
      </c>
      <c r="C4" s="59" t="s">
        <v>23</v>
      </c>
      <c r="D4" s="58" t="s">
        <v>24</v>
      </c>
      <c r="E4" s="56" t="s">
        <v>25</v>
      </c>
      <c r="F4" s="58" t="s">
        <v>26</v>
      </c>
      <c r="G4" s="56" t="s">
        <v>27</v>
      </c>
      <c r="I4" s="60"/>
      <c r="J4" s="60"/>
      <c r="K4" s="56" t="s">
        <v>28</v>
      </c>
      <c r="L4" s="56" t="s">
        <v>22</v>
      </c>
      <c r="M4" s="56" t="s">
        <v>29</v>
      </c>
      <c r="P4" s="56" t="s">
        <v>30</v>
      </c>
      <c r="Q4" s="56" t="s">
        <v>31</v>
      </c>
    </row>
    <row r="5" s="52" customFormat="1" ht="162.75" customHeight="1" spans="1:19">
      <c r="B5" s="56" t="s">
        <v>32</v>
      </c>
      <c r="C5" s="59" t="s">
        <v>33</v>
      </c>
      <c r="D5" s="61" t="s">
        <v>24</v>
      </c>
      <c r="E5" s="56" t="s">
        <v>25</v>
      </c>
      <c r="F5" s="58" t="s">
        <v>26</v>
      </c>
      <c r="G5" s="56" t="s">
        <v>34</v>
      </c>
      <c r="I5" s="60"/>
      <c r="J5" s="60"/>
      <c r="K5" s="62" t="s">
        <v>35</v>
      </c>
      <c r="L5" s="56" t="s">
        <v>32</v>
      </c>
      <c r="M5" s="56" t="s">
        <v>29</v>
      </c>
      <c r="P5" s="56" t="s">
        <v>30</v>
      </c>
      <c r="Q5" s="56" t="s">
        <v>31</v>
      </c>
    </row>
    <row r="6" s="53" customFormat="1" ht="79.5" customHeight="1" spans="1:19">
      <c r="B6" s="52" t="s">
        <v>36</v>
      </c>
      <c r="C6" s="59" t="s">
        <v>23</v>
      </c>
      <c r="D6" s="63" t="s">
        <v>37</v>
      </c>
      <c r="E6" s="52" t="s">
        <v>25</v>
      </c>
      <c r="F6" s="63" t="s">
        <v>38</v>
      </c>
      <c r="G6" s="52" t="s">
        <v>27</v>
      </c>
      <c r="I6" s="64"/>
      <c r="J6" s="64"/>
      <c r="K6" s="64" t="s">
        <v>39</v>
      </c>
      <c r="L6" s="52" t="s">
        <v>36</v>
      </c>
      <c r="M6" s="52" t="s">
        <v>40</v>
      </c>
      <c r="N6" s="52"/>
      <c r="O6" s="52"/>
      <c r="P6" s="63" t="s">
        <v>41</v>
      </c>
      <c r="Q6" s="63" t="s">
        <v>42</v>
      </c>
    </row>
    <row r="7" s="53" customFormat="1" ht="69" customHeight="1" spans="1:19">
      <c r="B7" s="52" t="s">
        <v>43</v>
      </c>
      <c r="C7" s="59" t="s">
        <v>33</v>
      </c>
      <c r="D7" s="65" t="s">
        <v>37</v>
      </c>
      <c r="E7" s="52" t="s">
        <v>25</v>
      </c>
      <c r="F7" s="63" t="s">
        <v>38</v>
      </c>
      <c r="G7" s="52" t="s">
        <v>34</v>
      </c>
      <c r="I7" s="64"/>
      <c r="J7" s="64"/>
      <c r="K7" s="64" t="s">
        <v>44</v>
      </c>
      <c r="L7" s="52" t="s">
        <v>43</v>
      </c>
      <c r="M7" s="52" t="s">
        <v>40</v>
      </c>
      <c r="N7" s="52"/>
      <c r="O7" s="52"/>
      <c r="P7" s="52" t="s">
        <v>41</v>
      </c>
      <c r="Q7" s="63" t="s">
        <v>42</v>
      </c>
    </row>
    <row r="8" s="54" customFormat="1" ht="135" customHeight="1" spans="1:19">
      <c r="B8" s="53" t="s">
        <v>45</v>
      </c>
      <c r="C8" s="59" t="s">
        <v>23</v>
      </c>
      <c r="D8" s="66" t="s">
        <v>46</v>
      </c>
      <c r="E8" s="53" t="s">
        <v>25</v>
      </c>
      <c r="F8" s="66" t="s">
        <v>47</v>
      </c>
      <c r="G8" s="53" t="s">
        <v>27</v>
      </c>
      <c r="I8" s="53"/>
      <c r="J8" s="53"/>
      <c r="K8" s="53"/>
      <c r="L8" s="53" t="s">
        <v>45</v>
      </c>
      <c r="M8" s="53" t="s">
        <v>48</v>
      </c>
      <c r="N8" s="53"/>
      <c r="O8" s="53"/>
      <c r="P8" s="53" t="s">
        <v>49</v>
      </c>
      <c r="Q8" s="66" t="s">
        <v>50</v>
      </c>
    </row>
    <row r="9" s="55" customFormat="1" ht="126.75" customHeight="1" spans="1:19">
      <c r="B9" s="53" t="s">
        <v>51</v>
      </c>
      <c r="C9" s="59" t="s">
        <v>33</v>
      </c>
      <c r="D9" s="53"/>
      <c r="E9" s="53" t="s">
        <v>25</v>
      </c>
      <c r="F9" s="66" t="s">
        <v>47</v>
      </c>
      <c r="G9" s="53" t="s">
        <v>34</v>
      </c>
      <c r="I9" s="53"/>
      <c r="J9" s="53"/>
      <c r="K9" s="53"/>
      <c r="L9" s="53" t="s">
        <v>51</v>
      </c>
      <c r="M9" s="53" t="s">
        <v>48</v>
      </c>
      <c r="N9" s="53"/>
      <c r="O9" s="53"/>
      <c r="P9" s="53" t="s">
        <v>49</v>
      </c>
      <c r="Q9" s="66" t="s">
        <v>50</v>
      </c>
    </row>
    <row r="10" s="54" customFormat="1" ht="121.5" customHeight="1" spans="1:19">
      <c r="B10" s="54" t="s">
        <v>52</v>
      </c>
      <c r="C10" s="59" t="s">
        <v>23</v>
      </c>
      <c r="D10" s="67" t="s">
        <v>53</v>
      </c>
      <c r="E10" s="54" t="s">
        <v>25</v>
      </c>
      <c r="F10" s="67" t="s">
        <v>54</v>
      </c>
      <c r="G10" s="54" t="s">
        <v>27</v>
      </c>
      <c r="L10" s="54" t="s">
        <v>52</v>
      </c>
      <c r="M10" s="54" t="s">
        <v>55</v>
      </c>
      <c r="N10" s="54"/>
      <c r="O10" s="54"/>
      <c r="P10" s="54" t="s">
        <v>56</v>
      </c>
      <c r="Q10" s="67" t="s">
        <v>57</v>
      </c>
    </row>
    <row r="11" ht="35.25" customHeight="1" spans="1:19">
      <c r="B11" s="55" t="s">
        <v>58</v>
      </c>
      <c r="C11" s="59" t="s">
        <v>33</v>
      </c>
      <c r="D11" s="68" t="s">
        <v>59</v>
      </c>
      <c r="E11" s="55" t="s">
        <v>25</v>
      </c>
      <c r="F11" s="68" t="s">
        <v>60</v>
      </c>
      <c r="G11" s="55" t="s">
        <v>27</v>
      </c>
      <c r="I11" s="55"/>
      <c r="J11" s="55"/>
      <c r="K11" s="55"/>
      <c r="L11" s="55" t="s">
        <v>58</v>
      </c>
      <c r="M11" s="55" t="s">
        <v>61</v>
      </c>
      <c r="N11" s="55"/>
      <c r="O11" s="55"/>
      <c r="P11" s="55" t="s">
        <v>62</v>
      </c>
      <c r="Q11" s="68" t="s">
        <v>63</v>
      </c>
    </row>
    <row r="12" ht="42" customHeight="1" spans="1:19">
      <c r="B12" s="54" t="s">
        <v>64</v>
      </c>
      <c r="C12" s="56" t="s">
        <v>65</v>
      </c>
      <c r="D12" s="67" t="s">
        <v>53</v>
      </c>
      <c r="E12" s="54" t="s">
        <v>25</v>
      </c>
      <c r="F12" s="67" t="s">
        <v>66</v>
      </c>
      <c r="G12" s="54" t="s">
        <v>67</v>
      </c>
      <c r="I12" s="54" t="s">
        <v>68</v>
      </c>
      <c r="J12" s="54" t="s">
        <v>69</v>
      </c>
      <c r="L12" s="54" t="s">
        <v>64</v>
      </c>
      <c r="M12" s="54" t="s">
        <v>70</v>
      </c>
      <c r="N12" s="54"/>
      <c r="O12" s="54"/>
      <c r="P12" s="54" t="s">
        <v>56</v>
      </c>
      <c r="Q12" s="67" t="s">
        <v>71</v>
      </c>
      <c r="R12" s="54" t="s">
        <v>72</v>
      </c>
      <c r="S12" s="69" t="s">
        <v>73</v>
      </c>
    </row>
    <row r="13" ht="35.25" customHeight="1" spans="1:19">
      <c r="B13" s="56" t="s">
        <v>74</v>
      </c>
      <c r="C13" s="59" t="s">
        <v>75</v>
      </c>
      <c r="D13" s="70" t="s">
        <v>24</v>
      </c>
      <c r="E13" s="56" t="s">
        <v>25</v>
      </c>
      <c r="F13" s="56" t="s">
        <v>26</v>
      </c>
      <c r="G13" s="56" t="s">
        <v>67</v>
      </c>
      <c r="H13" s="56" t="s">
        <v>24</v>
      </c>
      <c r="L13" s="56" t="s">
        <v>74</v>
      </c>
      <c r="M13" s="56" t="s">
        <v>76</v>
      </c>
      <c r="N13" s="56" t="s">
        <v>77</v>
      </c>
      <c r="O13" s="71" t="s">
        <v>78</v>
      </c>
      <c r="P13" s="56" t="s">
        <v>30</v>
      </c>
      <c r="Q13" s="56" t="s">
        <v>31</v>
      </c>
      <c r="S13" s="72"/>
    </row>
    <row r="14" ht="42.75" customHeight="1" spans="1:19">
      <c r="B14" s="56" t="s">
        <v>79</v>
      </c>
      <c r="C14" s="59" t="s">
        <v>80</v>
      </c>
      <c r="D14" s="70" t="s">
        <v>24</v>
      </c>
      <c r="E14" s="56" t="s">
        <v>24</v>
      </c>
      <c r="F14" s="56" t="s">
        <v>81</v>
      </c>
      <c r="G14" s="56" t="s">
        <v>67</v>
      </c>
      <c r="H14" s="56" t="s">
        <v>24</v>
      </c>
      <c r="L14" s="56" t="s">
        <v>79</v>
      </c>
      <c r="M14" s="56" t="s">
        <v>82</v>
      </c>
      <c r="N14" s="56" t="s">
        <v>83</v>
      </c>
      <c r="O14" s="71" t="s">
        <v>78</v>
      </c>
      <c r="P14" s="56" t="s">
        <v>30</v>
      </c>
      <c r="Q14" s="56" t="s">
        <v>84</v>
      </c>
      <c r="S14" s="72"/>
    </row>
    <row r="15" s="56" customFormat="1" ht="24.75" customHeight="1" spans="1:19">
      <c r="B15" s="56" t="s">
        <v>85</v>
      </c>
      <c r="C15" s="59" t="s">
        <v>86</v>
      </c>
      <c r="D15" s="70" t="s">
        <v>24</v>
      </c>
      <c r="E15" s="56" t="s">
        <v>37</v>
      </c>
      <c r="F15" s="73" t="s">
        <v>87</v>
      </c>
      <c r="G15" s="56" t="s">
        <v>67</v>
      </c>
      <c r="H15" s="56" t="s">
        <v>24</v>
      </c>
      <c r="I15" s="56"/>
      <c r="J15" s="56"/>
      <c r="L15" s="56" t="s">
        <v>85</v>
      </c>
      <c r="M15" s="56" t="s">
        <v>88</v>
      </c>
      <c r="N15" s="56" t="s">
        <v>89</v>
      </c>
      <c r="O15" s="71" t="s">
        <v>78</v>
      </c>
      <c r="P15" s="56" t="s">
        <v>30</v>
      </c>
      <c r="Q15" s="56" t="s">
        <v>90</v>
      </c>
      <c r="R15" s="56"/>
      <c r="S15" s="72"/>
    </row>
    <row r="16" s="56" customFormat="1" ht="24.75" customHeight="1" spans="1:19">
      <c r="B16" s="56" t="s">
        <v>91</v>
      </c>
      <c r="C16" s="59" t="s">
        <v>92</v>
      </c>
      <c r="D16" s="70" t="s">
        <v>24</v>
      </c>
      <c r="E16" s="56" t="s">
        <v>46</v>
      </c>
      <c r="F16" s="73" t="s">
        <v>93</v>
      </c>
      <c r="G16" s="56" t="s">
        <v>67</v>
      </c>
      <c r="H16" s="56" t="s">
        <v>24</v>
      </c>
      <c r="I16" s="56"/>
      <c r="J16" s="56"/>
      <c r="L16" s="56" t="s">
        <v>91</v>
      </c>
      <c r="M16" s="56" t="s">
        <v>94</v>
      </c>
      <c r="N16" s="56" t="s">
        <v>95</v>
      </c>
      <c r="O16" s="71" t="s">
        <v>78</v>
      </c>
      <c r="P16" s="56" t="s">
        <v>30</v>
      </c>
      <c r="Q16" s="56" t="s">
        <v>96</v>
      </c>
      <c r="R16" s="56"/>
      <c r="S16" s="72"/>
    </row>
    <row r="17" s="56" customFormat="1" ht="24.75" customHeight="1" spans="2:19">
      <c r="B17" s="56" t="s">
        <v>97</v>
      </c>
      <c r="C17" s="59" t="s">
        <v>98</v>
      </c>
      <c r="D17" s="70" t="s">
        <v>24</v>
      </c>
      <c r="E17" s="56" t="s">
        <v>25</v>
      </c>
      <c r="F17" s="56" t="s">
        <v>99</v>
      </c>
      <c r="G17" s="56" t="s">
        <v>67</v>
      </c>
      <c r="H17" s="56" t="s">
        <v>37</v>
      </c>
      <c r="I17" s="56"/>
      <c r="J17" s="56"/>
      <c r="L17" s="56" t="s">
        <v>97</v>
      </c>
      <c r="M17" s="56" t="s">
        <v>100</v>
      </c>
      <c r="N17" s="56" t="s">
        <v>101</v>
      </c>
      <c r="O17" s="71" t="s">
        <v>102</v>
      </c>
      <c r="P17" s="56" t="s">
        <v>30</v>
      </c>
      <c r="Q17" s="56" t="s">
        <v>103</v>
      </c>
      <c r="R17" s="56"/>
      <c r="S17" s="72"/>
    </row>
    <row r="18" s="56" customFormat="1" ht="24.75" customHeight="1" spans="2:19">
      <c r="B18" s="56" t="s">
        <v>104</v>
      </c>
      <c r="C18" s="59" t="s">
        <v>105</v>
      </c>
      <c r="D18" s="70" t="s">
        <v>24</v>
      </c>
      <c r="E18" s="56" t="s">
        <v>24</v>
      </c>
      <c r="F18" s="56" t="s">
        <v>106</v>
      </c>
      <c r="G18" s="56" t="s">
        <v>67</v>
      </c>
      <c r="H18" s="56" t="s">
        <v>37</v>
      </c>
      <c r="I18" s="56"/>
      <c r="J18" s="56"/>
      <c r="L18" s="56" t="s">
        <v>104</v>
      </c>
      <c r="M18" s="56" t="s">
        <v>107</v>
      </c>
      <c r="N18" s="56" t="s">
        <v>108</v>
      </c>
      <c r="O18" s="71" t="s">
        <v>102</v>
      </c>
      <c r="P18" s="56" t="s">
        <v>30</v>
      </c>
      <c r="Q18" s="56" t="s">
        <v>109</v>
      </c>
      <c r="R18" s="56"/>
      <c r="S18" s="72"/>
    </row>
    <row r="19" s="56" customFormat="1" ht="24.75" customHeight="1" spans="2:19">
      <c r="B19" s="56" t="s">
        <v>110</v>
      </c>
      <c r="C19" s="59" t="s">
        <v>111</v>
      </c>
      <c r="D19" s="70" t="s">
        <v>24</v>
      </c>
      <c r="E19" s="56" t="s">
        <v>37</v>
      </c>
      <c r="F19" s="73" t="s">
        <v>112</v>
      </c>
      <c r="G19" s="56" t="s">
        <v>67</v>
      </c>
      <c r="H19" s="56" t="s">
        <v>37</v>
      </c>
      <c r="I19" s="56"/>
      <c r="J19" s="56"/>
      <c r="L19" s="56" t="s">
        <v>110</v>
      </c>
      <c r="M19" s="56" t="s">
        <v>113</v>
      </c>
      <c r="N19" s="56" t="s">
        <v>114</v>
      </c>
      <c r="O19" s="71" t="s">
        <v>102</v>
      </c>
      <c r="P19" s="56" t="s">
        <v>30</v>
      </c>
      <c r="Q19" s="56" t="s">
        <v>115</v>
      </c>
      <c r="R19" s="56"/>
      <c r="S19" s="72"/>
    </row>
    <row r="20" s="56" customFormat="1" ht="24.75" customHeight="1" spans="2:19">
      <c r="B20" s="56" t="s">
        <v>116</v>
      </c>
      <c r="C20" s="59" t="s">
        <v>117</v>
      </c>
      <c r="D20" s="70" t="s">
        <v>24</v>
      </c>
      <c r="E20" s="56" t="s">
        <v>46</v>
      </c>
      <c r="F20" s="73" t="s">
        <v>93</v>
      </c>
      <c r="G20" s="56" t="s">
        <v>67</v>
      </c>
      <c r="H20" s="56" t="s">
        <v>37</v>
      </c>
      <c r="I20" s="56"/>
      <c r="J20" s="56"/>
      <c r="L20" s="56" t="s">
        <v>116</v>
      </c>
      <c r="M20" s="56" t="s">
        <v>118</v>
      </c>
      <c r="N20" s="56" t="s">
        <v>119</v>
      </c>
      <c r="O20" s="71" t="s">
        <v>102</v>
      </c>
      <c r="P20" s="56" t="s">
        <v>30</v>
      </c>
      <c r="Q20" s="56" t="s">
        <v>96</v>
      </c>
      <c r="R20" s="56"/>
      <c r="S20" s="72"/>
    </row>
    <row r="21" s="56" customFormat="1" ht="24.75" customHeight="1" spans="2:19">
      <c r="B21" s="56" t="s">
        <v>120</v>
      </c>
      <c r="C21" s="59" t="s">
        <v>121</v>
      </c>
      <c r="D21" s="70" t="s">
        <v>24</v>
      </c>
      <c r="E21" s="56" t="s">
        <v>25</v>
      </c>
      <c r="F21" s="56" t="s">
        <v>122</v>
      </c>
      <c r="G21" s="56" t="s">
        <v>67</v>
      </c>
      <c r="H21" s="56" t="s">
        <v>46</v>
      </c>
      <c r="I21" s="56"/>
      <c r="J21" s="56"/>
      <c r="L21" s="56" t="s">
        <v>120</v>
      </c>
      <c r="M21" s="56" t="s">
        <v>123</v>
      </c>
      <c r="N21" s="56" t="s">
        <v>124</v>
      </c>
      <c r="O21" s="71" t="s">
        <v>125</v>
      </c>
      <c r="P21" s="56" t="s">
        <v>30</v>
      </c>
      <c r="Q21" s="56" t="s">
        <v>126</v>
      </c>
      <c r="R21" s="56"/>
      <c r="S21" s="72"/>
    </row>
    <row r="22" s="56" customFormat="1" ht="24.75" customHeight="1" spans="2:19">
      <c r="B22" s="56" t="s">
        <v>127</v>
      </c>
      <c r="C22" s="59" t="s">
        <v>128</v>
      </c>
      <c r="D22" s="70" t="s">
        <v>24</v>
      </c>
      <c r="E22" s="56" t="s">
        <v>24</v>
      </c>
      <c r="F22" s="56" t="s">
        <v>106</v>
      </c>
      <c r="G22" s="56" t="s">
        <v>67</v>
      </c>
      <c r="H22" s="56" t="s">
        <v>46</v>
      </c>
      <c r="I22" s="56"/>
      <c r="J22" s="56"/>
      <c r="L22" s="56" t="s">
        <v>127</v>
      </c>
      <c r="M22" s="56" t="s">
        <v>129</v>
      </c>
      <c r="N22" s="56" t="s">
        <v>130</v>
      </c>
      <c r="O22" s="71" t="s">
        <v>125</v>
      </c>
      <c r="P22" s="56" t="s">
        <v>30</v>
      </c>
      <c r="Q22" s="56" t="s">
        <v>109</v>
      </c>
      <c r="R22" s="56"/>
      <c r="S22" s="72"/>
    </row>
    <row r="23" s="56" customFormat="1" ht="24.75" customHeight="1" spans="2:19">
      <c r="B23" s="56" t="s">
        <v>131</v>
      </c>
      <c r="C23" s="59" t="s">
        <v>132</v>
      </c>
      <c r="D23" s="70" t="s">
        <v>24</v>
      </c>
      <c r="E23" s="56" t="s">
        <v>37</v>
      </c>
      <c r="F23" s="73" t="s">
        <v>133</v>
      </c>
      <c r="G23" s="56" t="s">
        <v>67</v>
      </c>
      <c r="H23" s="56" t="s">
        <v>46</v>
      </c>
      <c r="I23" s="56"/>
      <c r="J23" s="56"/>
      <c r="L23" s="56" t="s">
        <v>131</v>
      </c>
      <c r="M23" s="56" t="s">
        <v>134</v>
      </c>
      <c r="N23" s="56" t="s">
        <v>135</v>
      </c>
      <c r="O23" s="71" t="s">
        <v>125</v>
      </c>
      <c r="P23" s="56" t="s">
        <v>30</v>
      </c>
      <c r="Q23" s="56" t="s">
        <v>136</v>
      </c>
      <c r="R23" s="56"/>
      <c r="S23" s="72"/>
    </row>
    <row r="24" s="56" customFormat="1" ht="24.75" customHeight="1" spans="2:19">
      <c r="B24" s="56" t="s">
        <v>137</v>
      </c>
      <c r="C24" s="59" t="s">
        <v>138</v>
      </c>
      <c r="D24" s="70" t="s">
        <v>24</v>
      </c>
      <c r="E24" s="56" t="s">
        <v>46</v>
      </c>
      <c r="F24" s="73" t="s">
        <v>93</v>
      </c>
      <c r="G24" s="56" t="s">
        <v>67</v>
      </c>
      <c r="H24" s="56" t="s">
        <v>46</v>
      </c>
      <c r="I24" s="56"/>
      <c r="J24" s="56"/>
      <c r="L24" s="56" t="s">
        <v>137</v>
      </c>
      <c r="M24" s="56" t="s">
        <v>139</v>
      </c>
      <c r="N24" s="56" t="s">
        <v>140</v>
      </c>
      <c r="O24" s="71" t="s">
        <v>125</v>
      </c>
      <c r="P24" s="56" t="s">
        <v>30</v>
      </c>
      <c r="Q24" s="56" t="s">
        <v>96</v>
      </c>
      <c r="R24" s="56"/>
      <c r="S24" s="72"/>
    </row>
    <row r="25" s="56" customFormat="1" ht="24.75" customHeight="1" spans="2:19">
      <c r="B25" s="56" t="s">
        <v>141</v>
      </c>
      <c r="C25" s="59" t="s">
        <v>142</v>
      </c>
      <c r="D25" s="70" t="s">
        <v>24</v>
      </c>
      <c r="E25" s="56" t="s">
        <v>25</v>
      </c>
      <c r="F25" s="56" t="s">
        <v>26</v>
      </c>
      <c r="G25" s="56" t="s">
        <v>67</v>
      </c>
      <c r="H25" s="56" t="s">
        <v>53</v>
      </c>
      <c r="I25" s="56"/>
      <c r="J25" s="56"/>
      <c r="L25" s="56" t="s">
        <v>141</v>
      </c>
      <c r="M25" s="56" t="s">
        <v>143</v>
      </c>
      <c r="N25" s="56" t="s">
        <v>144</v>
      </c>
      <c r="O25" s="71" t="s">
        <v>145</v>
      </c>
      <c r="P25" s="56" t="s">
        <v>30</v>
      </c>
      <c r="Q25" s="56" t="s">
        <v>146</v>
      </c>
      <c r="R25" s="56"/>
      <c r="S25" s="72"/>
    </row>
    <row r="26" s="56" customFormat="1" ht="24.75" customHeight="1" spans="2:19">
      <c r="B26" s="56" t="s">
        <v>147</v>
      </c>
      <c r="C26" s="59" t="s">
        <v>148</v>
      </c>
      <c r="D26" s="70" t="s">
        <v>24</v>
      </c>
      <c r="E26" s="56" t="s">
        <v>24</v>
      </c>
      <c r="F26" s="56" t="s">
        <v>149</v>
      </c>
      <c r="G26" s="56" t="s">
        <v>67</v>
      </c>
      <c r="H26" s="56" t="s">
        <v>53</v>
      </c>
      <c r="I26" s="56"/>
      <c r="J26" s="56"/>
      <c r="L26" s="56" t="s">
        <v>147</v>
      </c>
      <c r="M26" s="56" t="s">
        <v>150</v>
      </c>
      <c r="N26" s="56" t="s">
        <v>151</v>
      </c>
      <c r="O26" s="71" t="s">
        <v>145</v>
      </c>
      <c r="P26" s="56" t="s">
        <v>30</v>
      </c>
      <c r="Q26" s="56" t="s">
        <v>152</v>
      </c>
      <c r="R26" s="56"/>
      <c r="S26" s="72"/>
    </row>
    <row r="27" s="56" customFormat="1" ht="24.75" customHeight="1" spans="2:19">
      <c r="B27" s="56" t="s">
        <v>153</v>
      </c>
      <c r="C27" s="59" t="s">
        <v>154</v>
      </c>
      <c r="D27" s="70" t="s">
        <v>24</v>
      </c>
      <c r="E27" s="56" t="s">
        <v>37</v>
      </c>
      <c r="F27" s="73" t="s">
        <v>155</v>
      </c>
      <c r="G27" s="56" t="s">
        <v>67</v>
      </c>
      <c r="H27" s="56" t="s">
        <v>53</v>
      </c>
      <c r="I27" s="56"/>
      <c r="J27" s="56"/>
      <c r="L27" s="56" t="s">
        <v>153</v>
      </c>
      <c r="M27" s="56" t="s">
        <v>156</v>
      </c>
      <c r="N27" s="56" t="s">
        <v>157</v>
      </c>
      <c r="O27" s="71" t="s">
        <v>145</v>
      </c>
      <c r="P27" s="56" t="s">
        <v>30</v>
      </c>
      <c r="Q27" s="56" t="s">
        <v>158</v>
      </c>
      <c r="R27" s="56"/>
      <c r="S27" s="72"/>
    </row>
    <row r="28" s="56" customFormat="1" ht="24.75" customHeight="1" spans="2:19">
      <c r="B28" s="56" t="s">
        <v>159</v>
      </c>
      <c r="C28" s="59" t="s">
        <v>160</v>
      </c>
      <c r="D28" s="70" t="s">
        <v>24</v>
      </c>
      <c r="E28" s="56" t="s">
        <v>46</v>
      </c>
      <c r="F28" s="73" t="s">
        <v>93</v>
      </c>
      <c r="G28" s="56" t="s">
        <v>67</v>
      </c>
      <c r="H28" s="56" t="s">
        <v>53</v>
      </c>
      <c r="I28" s="56"/>
      <c r="J28" s="56"/>
      <c r="L28" s="56" t="s">
        <v>159</v>
      </c>
      <c r="M28" s="56" t="s">
        <v>161</v>
      </c>
      <c r="N28" s="56" t="s">
        <v>162</v>
      </c>
      <c r="O28" s="71" t="s">
        <v>145</v>
      </c>
      <c r="P28" s="56" t="s">
        <v>30</v>
      </c>
      <c r="Q28" s="56" t="s">
        <v>96</v>
      </c>
      <c r="R28" s="56"/>
      <c r="S28" s="72"/>
    </row>
    <row r="29" s="56" customFormat="1" ht="24.75" customHeight="1" spans="2:19">
      <c r="B29" s="56" t="s">
        <v>163</v>
      </c>
      <c r="C29" s="59" t="s">
        <v>164</v>
      </c>
      <c r="D29" s="70" t="s">
        <v>24</v>
      </c>
      <c r="E29" s="56" t="s">
        <v>25</v>
      </c>
      <c r="F29" s="56" t="s">
        <v>165</v>
      </c>
      <c r="G29" s="56" t="s">
        <v>67</v>
      </c>
      <c r="H29" s="56" t="s">
        <v>59</v>
      </c>
      <c r="I29" s="56"/>
      <c r="J29" s="56"/>
      <c r="L29" s="56" t="s">
        <v>163</v>
      </c>
      <c r="M29" s="56" t="s">
        <v>166</v>
      </c>
      <c r="N29" s="56" t="s">
        <v>167</v>
      </c>
      <c r="O29" s="71" t="s">
        <v>168</v>
      </c>
      <c r="P29" s="56" t="s">
        <v>30</v>
      </c>
      <c r="Q29" s="56" t="s">
        <v>169</v>
      </c>
      <c r="R29" s="56"/>
      <c r="S29" s="72"/>
    </row>
    <row r="30" s="56" customFormat="1" ht="24.75" customHeight="1" spans="2:19">
      <c r="B30" s="56" t="s">
        <v>170</v>
      </c>
      <c r="C30" s="59" t="s">
        <v>171</v>
      </c>
      <c r="D30" s="70" t="s">
        <v>24</v>
      </c>
      <c r="E30" s="56" t="s">
        <v>24</v>
      </c>
      <c r="F30" s="56" t="s">
        <v>172</v>
      </c>
      <c r="G30" s="56" t="s">
        <v>67</v>
      </c>
      <c r="H30" s="56" t="s">
        <v>59</v>
      </c>
      <c r="I30" s="56"/>
      <c r="J30" s="56"/>
      <c r="L30" s="56" t="s">
        <v>170</v>
      </c>
      <c r="M30" s="56" t="s">
        <v>173</v>
      </c>
      <c r="N30" s="56" t="s">
        <v>174</v>
      </c>
      <c r="O30" s="71" t="s">
        <v>168</v>
      </c>
      <c r="P30" s="56" t="s">
        <v>30</v>
      </c>
      <c r="Q30" s="56" t="s">
        <v>175</v>
      </c>
      <c r="R30" s="56"/>
      <c r="S30" s="72"/>
    </row>
    <row r="31" s="56" customFormat="1" ht="24.75" customHeight="1" spans="2:19">
      <c r="B31" s="56" t="s">
        <v>176</v>
      </c>
      <c r="C31" s="59" t="s">
        <v>177</v>
      </c>
      <c r="D31" s="70" t="s">
        <v>24</v>
      </c>
      <c r="E31" s="56" t="s">
        <v>37</v>
      </c>
      <c r="F31" s="73" t="s">
        <v>178</v>
      </c>
      <c r="G31" s="56" t="s">
        <v>67</v>
      </c>
      <c r="H31" s="56" t="s">
        <v>59</v>
      </c>
      <c r="I31" s="56"/>
      <c r="J31" s="56"/>
      <c r="L31" s="56" t="s">
        <v>176</v>
      </c>
      <c r="M31" s="56" t="s">
        <v>179</v>
      </c>
      <c r="N31" s="56" t="s">
        <v>180</v>
      </c>
      <c r="O31" s="71" t="s">
        <v>168</v>
      </c>
      <c r="P31" s="56" t="s">
        <v>30</v>
      </c>
      <c r="Q31" s="56" t="s">
        <v>181</v>
      </c>
      <c r="R31" s="56"/>
      <c r="S31" s="72"/>
    </row>
    <row r="32" s="56" customFormat="1" ht="24.75" customHeight="1" spans="2:19">
      <c r="B32" s="56" t="s">
        <v>182</v>
      </c>
      <c r="C32" s="59" t="s">
        <v>183</v>
      </c>
      <c r="D32" s="70" t="s">
        <v>24</v>
      </c>
      <c r="E32" s="56" t="s">
        <v>46</v>
      </c>
      <c r="F32" s="73" t="s">
        <v>93</v>
      </c>
      <c r="G32" s="56" t="s">
        <v>67</v>
      </c>
      <c r="H32" s="56" t="s">
        <v>59</v>
      </c>
      <c r="I32" s="56"/>
      <c r="J32" s="56"/>
      <c r="L32" s="56" t="s">
        <v>182</v>
      </c>
      <c r="M32" s="56" t="s">
        <v>184</v>
      </c>
      <c r="N32" s="56" t="s">
        <v>185</v>
      </c>
      <c r="O32" s="71" t="s">
        <v>168</v>
      </c>
      <c r="P32" s="56" t="s">
        <v>30</v>
      </c>
      <c r="Q32" s="56" t="s">
        <v>96</v>
      </c>
      <c r="R32" s="56"/>
      <c r="S32" s="72"/>
    </row>
    <row r="33" s="56" customFormat="1" ht="24.75" customHeight="1" spans="2:19">
      <c r="B33" s="56" t="s">
        <v>186</v>
      </c>
      <c r="C33" s="59" t="s">
        <v>187</v>
      </c>
      <c r="D33" s="70" t="s">
        <v>24</v>
      </c>
      <c r="E33" s="56" t="s">
        <v>25</v>
      </c>
      <c r="F33" s="56" t="s">
        <v>188</v>
      </c>
      <c r="G33" s="56" t="s">
        <v>67</v>
      </c>
      <c r="H33" s="56" t="s">
        <v>189</v>
      </c>
      <c r="I33" s="56"/>
      <c r="J33" s="56"/>
      <c r="L33" s="56" t="s">
        <v>186</v>
      </c>
      <c r="M33" s="56" t="s">
        <v>190</v>
      </c>
      <c r="N33" s="56" t="s">
        <v>191</v>
      </c>
      <c r="O33" s="71" t="s">
        <v>192</v>
      </c>
      <c r="P33" s="56" t="s">
        <v>30</v>
      </c>
      <c r="Q33" s="56" t="s">
        <v>146</v>
      </c>
      <c r="R33" s="56"/>
      <c r="S33" s="72"/>
    </row>
    <row r="34" s="56" customFormat="1" ht="24.75" customHeight="1" spans="2:19">
      <c r="B34" s="56" t="s">
        <v>193</v>
      </c>
      <c r="C34" s="74" t="s">
        <v>194</v>
      </c>
      <c r="D34" s="70" t="s">
        <v>24</v>
      </c>
      <c r="E34" s="56" t="s">
        <v>24</v>
      </c>
      <c r="F34" s="56" t="s">
        <v>195</v>
      </c>
      <c r="G34" s="56" t="s">
        <v>67</v>
      </c>
      <c r="H34" s="56" t="s">
        <v>189</v>
      </c>
      <c r="I34" s="56"/>
      <c r="J34" s="56"/>
      <c r="L34" s="56" t="s">
        <v>193</v>
      </c>
      <c r="M34" s="56" t="s">
        <v>196</v>
      </c>
      <c r="N34" s="56" t="s">
        <v>197</v>
      </c>
      <c r="O34" s="71" t="s">
        <v>192</v>
      </c>
      <c r="P34" s="56" t="s">
        <v>30</v>
      </c>
      <c r="Q34" s="56" t="s">
        <v>152</v>
      </c>
      <c r="R34" s="56"/>
      <c r="S34" s="72"/>
    </row>
    <row r="35" s="56" customFormat="1" ht="24.75" customHeight="1" spans="2:19">
      <c r="B35" s="56" t="s">
        <v>198</v>
      </c>
      <c r="C35" s="74" t="s">
        <v>199</v>
      </c>
      <c r="D35" s="70" t="s">
        <v>24</v>
      </c>
      <c r="E35" s="56" t="s">
        <v>37</v>
      </c>
      <c r="F35" s="73" t="s">
        <v>200</v>
      </c>
      <c r="G35" s="56" t="s">
        <v>67</v>
      </c>
      <c r="H35" s="56" t="s">
        <v>189</v>
      </c>
      <c r="I35" s="56"/>
      <c r="J35" s="56"/>
      <c r="L35" s="56" t="s">
        <v>198</v>
      </c>
      <c r="M35" s="56" t="s">
        <v>201</v>
      </c>
      <c r="N35" s="56" t="s">
        <v>202</v>
      </c>
      <c r="O35" s="71" t="s">
        <v>192</v>
      </c>
      <c r="P35" s="56" t="s">
        <v>30</v>
      </c>
      <c r="Q35" s="56" t="s">
        <v>158</v>
      </c>
      <c r="R35" s="56"/>
      <c r="S35" s="72"/>
    </row>
    <row r="36" s="56" customFormat="1" ht="24.75" customHeight="1" spans="2:19">
      <c r="B36" s="56" t="s">
        <v>203</v>
      </c>
      <c r="C36" s="59" t="s">
        <v>204</v>
      </c>
      <c r="D36" s="70" t="s">
        <v>24</v>
      </c>
      <c r="E36" s="56" t="s">
        <v>46</v>
      </c>
      <c r="F36" s="73" t="s">
        <v>93</v>
      </c>
      <c r="G36" s="56" t="s">
        <v>67</v>
      </c>
      <c r="H36" s="56" t="s">
        <v>189</v>
      </c>
      <c r="I36" s="56"/>
      <c r="J36" s="56"/>
      <c r="L36" s="56" t="s">
        <v>203</v>
      </c>
      <c r="M36" s="56" t="s">
        <v>205</v>
      </c>
      <c r="N36" s="56" t="s">
        <v>206</v>
      </c>
      <c r="O36" s="71" t="s">
        <v>192</v>
      </c>
      <c r="P36" s="56" t="s">
        <v>30</v>
      </c>
      <c r="Q36" s="56" t="s">
        <v>96</v>
      </c>
      <c r="R36" s="56"/>
      <c r="S36" s="72"/>
    </row>
    <row r="37" s="56" customFormat="1" ht="24.75" customHeight="1" spans="2:19">
      <c r="B37" s="56" t="s">
        <v>207</v>
      </c>
      <c r="C37" s="59" t="s">
        <v>208</v>
      </c>
      <c r="D37" s="70" t="s">
        <v>24</v>
      </c>
      <c r="E37" s="56" t="s">
        <v>25</v>
      </c>
      <c r="F37" s="56" t="s">
        <v>209</v>
      </c>
      <c r="G37" s="56" t="s">
        <v>67</v>
      </c>
      <c r="H37" s="56" t="s">
        <v>210</v>
      </c>
      <c r="I37" s="56"/>
      <c r="J37" s="56"/>
      <c r="L37" s="56" t="s">
        <v>207</v>
      </c>
      <c r="M37" s="56" t="s">
        <v>211</v>
      </c>
      <c r="N37" s="56" t="s">
        <v>212</v>
      </c>
      <c r="O37" s="71" t="s">
        <v>213</v>
      </c>
      <c r="P37" s="56" t="s">
        <v>30</v>
      </c>
      <c r="Q37" s="56" t="s">
        <v>214</v>
      </c>
      <c r="R37" s="56"/>
      <c r="S37" s="72"/>
    </row>
    <row r="38" s="56" customFormat="1" ht="24.75" customHeight="1" spans="2:19">
      <c r="B38" s="56" t="s">
        <v>215</v>
      </c>
      <c r="C38" s="59" t="s">
        <v>216</v>
      </c>
      <c r="D38" s="70" t="s">
        <v>24</v>
      </c>
      <c r="E38" s="56" t="s">
        <v>24</v>
      </c>
      <c r="F38" s="56" t="s">
        <v>195</v>
      </c>
      <c r="G38" s="56" t="s">
        <v>67</v>
      </c>
      <c r="H38" s="56" t="s">
        <v>210</v>
      </c>
      <c r="I38" s="56"/>
      <c r="J38" s="56"/>
      <c r="L38" s="56" t="s">
        <v>215</v>
      </c>
      <c r="M38" s="56" t="s">
        <v>217</v>
      </c>
      <c r="N38" s="56" t="s">
        <v>218</v>
      </c>
      <c r="O38" s="71" t="s">
        <v>213</v>
      </c>
      <c r="P38" s="56" t="s">
        <v>30</v>
      </c>
      <c r="Q38" s="56" t="s">
        <v>152</v>
      </c>
      <c r="R38" s="56"/>
      <c r="S38" s="72"/>
    </row>
    <row r="39" s="56" customFormat="1" ht="24.75" customHeight="1" spans="2:19">
      <c r="B39" s="56" t="s">
        <v>219</v>
      </c>
      <c r="C39" s="74" t="s">
        <v>220</v>
      </c>
      <c r="D39" s="70" t="s">
        <v>24</v>
      </c>
      <c r="E39" s="56" t="s">
        <v>37</v>
      </c>
      <c r="F39" s="73" t="s">
        <v>221</v>
      </c>
      <c r="G39" s="56" t="s">
        <v>67</v>
      </c>
      <c r="H39" s="56" t="s">
        <v>210</v>
      </c>
      <c r="I39" s="56"/>
      <c r="J39" s="56"/>
      <c r="L39" s="56" t="s">
        <v>219</v>
      </c>
      <c r="M39" s="56" t="s">
        <v>222</v>
      </c>
      <c r="N39" s="56" t="s">
        <v>223</v>
      </c>
      <c r="O39" s="71" t="s">
        <v>213</v>
      </c>
      <c r="P39" s="56" t="s">
        <v>30</v>
      </c>
      <c r="Q39" s="56" t="s">
        <v>224</v>
      </c>
      <c r="R39" s="56"/>
      <c r="S39" s="72"/>
    </row>
    <row r="40" s="56" customFormat="1" ht="24.75" customHeight="1" spans="2:19">
      <c r="B40" s="56" t="s">
        <v>225</v>
      </c>
      <c r="C40" s="59" t="s">
        <v>226</v>
      </c>
      <c r="D40" s="70" t="s">
        <v>24</v>
      </c>
      <c r="E40" s="56" t="s">
        <v>46</v>
      </c>
      <c r="F40" s="73" t="s">
        <v>93</v>
      </c>
      <c r="G40" s="56" t="s">
        <v>67</v>
      </c>
      <c r="H40" s="56" t="s">
        <v>210</v>
      </c>
      <c r="I40" s="56"/>
      <c r="J40" s="56"/>
      <c r="L40" s="56" t="s">
        <v>225</v>
      </c>
      <c r="M40" s="56" t="s">
        <v>227</v>
      </c>
      <c r="N40" s="56" t="s">
        <v>228</v>
      </c>
      <c r="O40" s="71" t="s">
        <v>213</v>
      </c>
      <c r="P40" s="56" t="s">
        <v>30</v>
      </c>
      <c r="Q40" s="56" t="s">
        <v>96</v>
      </c>
      <c r="R40" s="56"/>
      <c r="S40" s="72"/>
    </row>
    <row r="41" s="56" customFormat="1" ht="24.75" customHeight="1" spans="2:19">
      <c r="B41" s="56" t="s">
        <v>229</v>
      </c>
      <c r="C41" s="59" t="s">
        <v>230</v>
      </c>
      <c r="D41" s="70" t="s">
        <v>24</v>
      </c>
      <c r="E41" s="56" t="s">
        <v>25</v>
      </c>
      <c r="F41" s="56" t="s">
        <v>231</v>
      </c>
      <c r="G41" s="56" t="s">
        <v>67</v>
      </c>
      <c r="H41" s="56" t="s">
        <v>232</v>
      </c>
      <c r="I41" s="56"/>
      <c r="J41" s="56"/>
      <c r="L41" s="56" t="s">
        <v>229</v>
      </c>
      <c r="M41" s="56" t="s">
        <v>233</v>
      </c>
      <c r="N41" s="56" t="s">
        <v>234</v>
      </c>
      <c r="O41" s="71" t="s">
        <v>235</v>
      </c>
      <c r="P41" s="56" t="s">
        <v>30</v>
      </c>
      <c r="Q41" s="56" t="s">
        <v>175</v>
      </c>
      <c r="R41" s="56"/>
      <c r="S41" s="72"/>
    </row>
    <row r="42" s="56" customFormat="1" ht="24.75" customHeight="1" spans="2:19">
      <c r="B42" s="56" t="s">
        <v>236</v>
      </c>
      <c r="C42" s="59" t="s">
        <v>237</v>
      </c>
      <c r="D42" s="70" t="s">
        <v>24</v>
      </c>
      <c r="E42" s="56" t="s">
        <v>24</v>
      </c>
      <c r="F42" s="56" t="s">
        <v>238</v>
      </c>
      <c r="G42" s="56" t="s">
        <v>67</v>
      </c>
      <c r="H42" s="56" t="s">
        <v>232</v>
      </c>
      <c r="I42" s="56"/>
      <c r="J42" s="56"/>
      <c r="L42" s="56" t="s">
        <v>236</v>
      </c>
      <c r="M42" s="56" t="s">
        <v>239</v>
      </c>
      <c r="N42" s="56" t="s">
        <v>240</v>
      </c>
      <c r="O42" s="71" t="s">
        <v>235</v>
      </c>
      <c r="P42" s="56" t="s">
        <v>30</v>
      </c>
      <c r="Q42" s="56" t="s">
        <v>241</v>
      </c>
      <c r="R42" s="56"/>
      <c r="S42" s="72"/>
    </row>
    <row r="43" s="56" customFormat="1" ht="24.75" customHeight="1" spans="2:19">
      <c r="B43" s="56" t="s">
        <v>242</v>
      </c>
      <c r="C43" s="59" t="s">
        <v>243</v>
      </c>
      <c r="D43" s="70" t="s">
        <v>24</v>
      </c>
      <c r="E43" s="56" t="s">
        <v>37</v>
      </c>
      <c r="F43" s="73" t="s">
        <v>244</v>
      </c>
      <c r="G43" s="56" t="s">
        <v>67</v>
      </c>
      <c r="H43" s="56" t="s">
        <v>232</v>
      </c>
      <c r="I43" s="56"/>
      <c r="J43" s="56"/>
      <c r="L43" s="56" t="s">
        <v>242</v>
      </c>
      <c r="M43" s="56" t="s">
        <v>245</v>
      </c>
      <c r="N43" s="56" t="s">
        <v>246</v>
      </c>
      <c r="O43" s="71" t="s">
        <v>235</v>
      </c>
      <c r="P43" s="56" t="s">
        <v>30</v>
      </c>
      <c r="Q43" s="56" t="s">
        <v>247</v>
      </c>
      <c r="R43" s="56"/>
      <c r="S43" s="72"/>
    </row>
    <row r="44" s="56" customFormat="1" ht="24.75" customHeight="1" spans="2:19">
      <c r="B44" s="56" t="s">
        <v>248</v>
      </c>
      <c r="C44" s="59" t="s">
        <v>249</v>
      </c>
      <c r="D44" s="70" t="s">
        <v>24</v>
      </c>
      <c r="E44" s="56" t="s">
        <v>46</v>
      </c>
      <c r="F44" s="73" t="s">
        <v>93</v>
      </c>
      <c r="G44" s="56" t="s">
        <v>67</v>
      </c>
      <c r="H44" s="56" t="s">
        <v>232</v>
      </c>
      <c r="I44" s="56"/>
      <c r="J44" s="56"/>
      <c r="L44" s="56" t="s">
        <v>248</v>
      </c>
      <c r="M44" s="56" t="s">
        <v>250</v>
      </c>
      <c r="N44" s="56" t="s">
        <v>251</v>
      </c>
      <c r="O44" s="71" t="s">
        <v>235</v>
      </c>
      <c r="P44" s="56" t="s">
        <v>30</v>
      </c>
      <c r="Q44" s="56" t="s">
        <v>96</v>
      </c>
      <c r="R44" s="56"/>
      <c r="S44" s="72"/>
    </row>
    <row r="45" s="56" customFormat="1" ht="24.75" customHeight="1" spans="2:19">
      <c r="B45" s="56" t="s">
        <v>252</v>
      </c>
      <c r="C45" s="59" t="s">
        <v>253</v>
      </c>
      <c r="D45" s="70" t="s">
        <v>24</v>
      </c>
      <c r="E45" s="56" t="s">
        <v>25</v>
      </c>
      <c r="F45" s="56" t="s">
        <v>188</v>
      </c>
      <c r="G45" s="56" t="s">
        <v>67</v>
      </c>
      <c r="H45" s="56" t="s">
        <v>254</v>
      </c>
      <c r="I45" s="56"/>
      <c r="J45" s="56"/>
      <c r="L45" s="56" t="s">
        <v>252</v>
      </c>
      <c r="M45" s="56" t="s">
        <v>255</v>
      </c>
      <c r="N45" s="56" t="s">
        <v>256</v>
      </c>
      <c r="O45" s="71" t="s">
        <v>257</v>
      </c>
      <c r="P45" s="56" t="s">
        <v>30</v>
      </c>
      <c r="Q45" s="56" t="s">
        <v>146</v>
      </c>
      <c r="R45" s="56"/>
      <c r="S45" s="72"/>
    </row>
    <row r="46" s="56" customFormat="1" ht="24.75" customHeight="1" spans="2:19">
      <c r="B46" s="56" t="s">
        <v>258</v>
      </c>
      <c r="C46" s="59" t="s">
        <v>259</v>
      </c>
      <c r="D46" s="70" t="s">
        <v>24</v>
      </c>
      <c r="E46" s="56" t="s">
        <v>24</v>
      </c>
      <c r="F46" s="56" t="s">
        <v>260</v>
      </c>
      <c r="G46" s="56" t="s">
        <v>67</v>
      </c>
      <c r="H46" s="56" t="s">
        <v>254</v>
      </c>
      <c r="I46" s="56"/>
      <c r="J46" s="56"/>
      <c r="L46" s="56" t="s">
        <v>258</v>
      </c>
      <c r="M46" s="56" t="s">
        <v>261</v>
      </c>
      <c r="N46" s="56" t="s">
        <v>262</v>
      </c>
      <c r="O46" s="71" t="s">
        <v>257</v>
      </c>
      <c r="P46" s="56" t="s">
        <v>30</v>
      </c>
      <c r="Q46" s="56" t="s">
        <v>263</v>
      </c>
      <c r="R46" s="56"/>
      <c r="S46" s="72"/>
    </row>
    <row r="47" s="56" customFormat="1" ht="24.75" customHeight="1" spans="2:19">
      <c r="B47" s="56" t="s">
        <v>264</v>
      </c>
      <c r="C47" s="59" t="s">
        <v>265</v>
      </c>
      <c r="D47" s="70" t="s">
        <v>24</v>
      </c>
      <c r="E47" s="56" t="s">
        <v>37</v>
      </c>
      <c r="F47" s="73" t="s">
        <v>266</v>
      </c>
      <c r="G47" s="56" t="s">
        <v>67</v>
      </c>
      <c r="H47" s="56" t="s">
        <v>254</v>
      </c>
      <c r="I47" s="56"/>
      <c r="J47" s="56"/>
      <c r="L47" s="56" t="s">
        <v>264</v>
      </c>
      <c r="M47" s="56" t="s">
        <v>267</v>
      </c>
      <c r="N47" s="56" t="s">
        <v>268</v>
      </c>
      <c r="O47" s="71" t="s">
        <v>257</v>
      </c>
      <c r="P47" s="56" t="s">
        <v>30</v>
      </c>
      <c r="Q47" s="56" t="s">
        <v>269</v>
      </c>
      <c r="R47" s="56"/>
      <c r="S47" s="72"/>
    </row>
    <row r="48" s="56" customFormat="1" ht="24.75" customHeight="1" spans="2:19">
      <c r="B48" s="56" t="s">
        <v>270</v>
      </c>
      <c r="C48" s="59" t="s">
        <v>271</v>
      </c>
      <c r="D48" s="70" t="s">
        <v>24</v>
      </c>
      <c r="E48" s="56" t="s">
        <v>46</v>
      </c>
      <c r="F48" s="73" t="s">
        <v>93</v>
      </c>
      <c r="G48" s="56" t="s">
        <v>67</v>
      </c>
      <c r="H48" s="56" t="s">
        <v>254</v>
      </c>
      <c r="I48" s="56"/>
      <c r="J48" s="56"/>
      <c r="L48" s="56" t="s">
        <v>270</v>
      </c>
      <c r="M48" s="56" t="s">
        <v>272</v>
      </c>
      <c r="N48" s="56" t="s">
        <v>273</v>
      </c>
      <c r="O48" s="71" t="s">
        <v>257</v>
      </c>
      <c r="P48" s="56" t="s">
        <v>30</v>
      </c>
      <c r="Q48" s="56" t="s">
        <v>96</v>
      </c>
      <c r="R48" s="56"/>
      <c r="S48" s="72"/>
    </row>
    <row r="49" s="56" customFormat="1" ht="24.75" customHeight="1" spans="2:19">
      <c r="B49" s="56" t="s">
        <v>274</v>
      </c>
      <c r="C49" s="59" t="s">
        <v>275</v>
      </c>
      <c r="D49" s="70" t="s">
        <v>24</v>
      </c>
      <c r="E49" s="56" t="s">
        <v>25</v>
      </c>
      <c r="F49" s="56" t="s">
        <v>122</v>
      </c>
      <c r="G49" s="56" t="s">
        <v>67</v>
      </c>
      <c r="H49" s="56" t="s">
        <v>276</v>
      </c>
      <c r="I49" s="56"/>
      <c r="J49" s="56"/>
      <c r="L49" s="56" t="s">
        <v>274</v>
      </c>
      <c r="M49" s="56" t="s">
        <v>277</v>
      </c>
      <c r="N49" s="56" t="s">
        <v>278</v>
      </c>
      <c r="O49" s="71" t="s">
        <v>279</v>
      </c>
      <c r="P49" s="56" t="s">
        <v>30</v>
      </c>
      <c r="Q49" s="56" t="s">
        <v>126</v>
      </c>
      <c r="R49" s="56"/>
      <c r="S49" s="72"/>
    </row>
    <row r="50" s="56" customFormat="1" ht="24.75" customHeight="1" spans="2:19">
      <c r="B50" s="56" t="s">
        <v>280</v>
      </c>
      <c r="C50" s="59" t="s">
        <v>281</v>
      </c>
      <c r="D50" s="70" t="s">
        <v>24</v>
      </c>
      <c r="E50" s="56" t="s">
        <v>24</v>
      </c>
      <c r="F50" s="56" t="s">
        <v>195</v>
      </c>
      <c r="G50" s="56" t="s">
        <v>67</v>
      </c>
      <c r="H50" s="56" t="s">
        <v>276</v>
      </c>
      <c r="I50" s="56"/>
      <c r="J50" s="56"/>
      <c r="L50" s="56" t="s">
        <v>280</v>
      </c>
      <c r="M50" s="56" t="s">
        <v>282</v>
      </c>
      <c r="N50" s="56" t="s">
        <v>283</v>
      </c>
      <c r="O50" s="71" t="s">
        <v>279</v>
      </c>
      <c r="P50" s="56" t="s">
        <v>30</v>
      </c>
      <c r="Q50" s="56" t="s">
        <v>152</v>
      </c>
      <c r="R50" s="56"/>
      <c r="S50" s="72"/>
    </row>
    <row r="51" s="52" customFormat="1" ht="24.75" customHeight="1" spans="2:19">
      <c r="B51" s="56" t="s">
        <v>284</v>
      </c>
      <c r="C51" s="59" t="s">
        <v>285</v>
      </c>
      <c r="D51" s="70" t="s">
        <v>24</v>
      </c>
      <c r="E51" s="56" t="s">
        <v>37</v>
      </c>
      <c r="F51" s="73" t="s">
        <v>200</v>
      </c>
      <c r="G51" s="56" t="s">
        <v>67</v>
      </c>
      <c r="H51" s="56" t="s">
        <v>276</v>
      </c>
      <c r="I51" s="56"/>
      <c r="J51" s="56"/>
      <c r="L51" s="56" t="s">
        <v>284</v>
      </c>
      <c r="M51" s="56" t="s">
        <v>286</v>
      </c>
      <c r="N51" s="56" t="s">
        <v>287</v>
      </c>
      <c r="O51" s="71" t="s">
        <v>279</v>
      </c>
      <c r="P51" s="56" t="s">
        <v>30</v>
      </c>
      <c r="Q51" s="56" t="s">
        <v>158</v>
      </c>
      <c r="R51" s="56"/>
      <c r="S51" s="72"/>
    </row>
    <row r="52" s="52" customFormat="1" ht="24" customHeight="1" spans="2:19">
      <c r="B52" s="56" t="s">
        <v>288</v>
      </c>
      <c r="C52" s="59" t="s">
        <v>289</v>
      </c>
      <c r="D52" s="70" t="s">
        <v>24</v>
      </c>
      <c r="E52" s="56" t="s">
        <v>46</v>
      </c>
      <c r="F52" s="73" t="s">
        <v>93</v>
      </c>
      <c r="G52" s="56" t="s">
        <v>67</v>
      </c>
      <c r="H52" s="56" t="s">
        <v>276</v>
      </c>
      <c r="I52" s="56"/>
      <c r="J52" s="56"/>
      <c r="L52" s="56" t="s">
        <v>288</v>
      </c>
      <c r="M52" s="56" t="s">
        <v>290</v>
      </c>
      <c r="N52" s="56" t="s">
        <v>291</v>
      </c>
      <c r="O52" s="71" t="s">
        <v>279</v>
      </c>
      <c r="P52" s="56" t="s">
        <v>30</v>
      </c>
      <c r="Q52" s="56" t="s">
        <v>96</v>
      </c>
      <c r="R52" s="56"/>
      <c r="S52" s="72"/>
    </row>
    <row r="53" s="52" customFormat="1" ht="33.75" customHeight="1" spans="2:19">
      <c r="B53" s="52" t="s">
        <v>292</v>
      </c>
      <c r="C53" s="59" t="s">
        <v>75</v>
      </c>
      <c r="D53" s="75" t="s">
        <v>37</v>
      </c>
      <c r="E53" s="56" t="s">
        <v>25</v>
      </c>
      <c r="F53" s="56" t="s">
        <v>38</v>
      </c>
      <c r="G53" s="56" t="s">
        <v>67</v>
      </c>
      <c r="H53" s="56" t="s">
        <v>24</v>
      </c>
      <c r="I53" s="52"/>
      <c r="J53" s="52"/>
      <c r="L53" s="52" t="s">
        <v>292</v>
      </c>
      <c r="M53" s="56" t="s">
        <v>293</v>
      </c>
      <c r="N53" s="56" t="s">
        <v>294</v>
      </c>
      <c r="O53" s="76" t="s">
        <v>295</v>
      </c>
      <c r="P53" s="56" t="s">
        <v>41</v>
      </c>
      <c r="Q53" s="52" t="s">
        <v>42</v>
      </c>
      <c r="R53" s="52"/>
      <c r="S53" s="77"/>
    </row>
    <row r="54" s="52" customFormat="1" ht="42.75" customHeight="1" spans="2:19">
      <c r="B54" s="52" t="s">
        <v>296</v>
      </c>
      <c r="C54" s="59" t="s">
        <v>80</v>
      </c>
      <c r="D54" s="75" t="s">
        <v>37</v>
      </c>
      <c r="E54" s="56" t="s">
        <v>24</v>
      </c>
      <c r="F54" s="56" t="s">
        <v>297</v>
      </c>
      <c r="G54" s="56" t="s">
        <v>67</v>
      </c>
      <c r="H54" s="56" t="s">
        <v>24</v>
      </c>
      <c r="I54" s="52"/>
      <c r="J54" s="52"/>
      <c r="L54" s="52" t="s">
        <v>296</v>
      </c>
      <c r="M54" s="56" t="s">
        <v>298</v>
      </c>
      <c r="N54" s="56" t="s">
        <v>299</v>
      </c>
      <c r="O54" s="76" t="s">
        <v>295</v>
      </c>
      <c r="P54" s="56" t="s">
        <v>41</v>
      </c>
      <c r="Q54" s="52" t="s">
        <v>300</v>
      </c>
      <c r="R54" s="52"/>
      <c r="S54" s="77"/>
    </row>
    <row r="55" ht="28.5" customHeight="1" spans="2:19">
      <c r="B55" s="52" t="s">
        <v>301</v>
      </c>
      <c r="C55" s="59" t="s">
        <v>86</v>
      </c>
      <c r="D55" s="75" t="s">
        <v>37</v>
      </c>
      <c r="E55" s="56" t="s">
        <v>37</v>
      </c>
      <c r="F55" s="73" t="s">
        <v>302</v>
      </c>
      <c r="G55" s="56" t="s">
        <v>67</v>
      </c>
      <c r="H55" s="56" t="s">
        <v>24</v>
      </c>
      <c r="I55" s="52"/>
      <c r="J55" s="52"/>
      <c r="L55" s="52" t="s">
        <v>301</v>
      </c>
      <c r="M55" s="56" t="s">
        <v>303</v>
      </c>
      <c r="N55" s="56" t="s">
        <v>304</v>
      </c>
      <c r="O55" s="76" t="s">
        <v>295</v>
      </c>
      <c r="P55" s="56" t="s">
        <v>41</v>
      </c>
      <c r="Q55" s="52" t="s">
        <v>181</v>
      </c>
      <c r="R55" s="52"/>
      <c r="S55" s="77"/>
    </row>
    <row r="56" ht="28.5" customHeight="1" spans="2:19">
      <c r="B56" s="52" t="s">
        <v>305</v>
      </c>
      <c r="C56" s="59" t="s">
        <v>92</v>
      </c>
      <c r="D56" s="75" t="s">
        <v>37</v>
      </c>
      <c r="E56" s="56" t="s">
        <v>46</v>
      </c>
      <c r="F56" s="73" t="s">
        <v>306</v>
      </c>
      <c r="G56" s="56" t="s">
        <v>67</v>
      </c>
      <c r="H56" s="56" t="s">
        <v>24</v>
      </c>
      <c r="I56" s="52"/>
      <c r="J56" s="52"/>
      <c r="L56" s="52" t="s">
        <v>305</v>
      </c>
      <c r="M56" s="56" t="s">
        <v>307</v>
      </c>
      <c r="N56" s="56" t="s">
        <v>308</v>
      </c>
      <c r="O56" s="76" t="s">
        <v>295</v>
      </c>
      <c r="P56" s="56" t="s">
        <v>41</v>
      </c>
      <c r="Q56" s="52" t="s">
        <v>309</v>
      </c>
      <c r="R56" s="52"/>
      <c r="S56" s="77"/>
    </row>
    <row r="57" ht="28.5" customHeight="1" spans="2:19">
      <c r="B57" s="52" t="s">
        <v>310</v>
      </c>
      <c r="C57" s="59" t="s">
        <v>98</v>
      </c>
      <c r="D57" s="75" t="s">
        <v>37</v>
      </c>
      <c r="E57" s="56" t="s">
        <v>25</v>
      </c>
      <c r="F57" s="56" t="s">
        <v>311</v>
      </c>
      <c r="G57" s="56" t="s">
        <v>67</v>
      </c>
      <c r="H57" s="56" t="s">
        <v>37</v>
      </c>
      <c r="K57" s="73"/>
      <c r="L57" s="52" t="s">
        <v>310</v>
      </c>
      <c r="M57" s="56" t="s">
        <v>312</v>
      </c>
      <c r="N57" s="56" t="s">
        <v>313</v>
      </c>
      <c r="O57" s="76" t="s">
        <v>314</v>
      </c>
      <c r="P57" s="56" t="s">
        <v>41</v>
      </c>
      <c r="Q57" s="56" t="s">
        <v>315</v>
      </c>
      <c r="S57" s="72"/>
    </row>
    <row r="58" ht="28.5" customHeight="1" spans="2:19">
      <c r="B58" s="52" t="s">
        <v>316</v>
      </c>
      <c r="C58" s="59" t="s">
        <v>105</v>
      </c>
      <c r="D58" s="75" t="s">
        <v>37</v>
      </c>
      <c r="E58" s="56" t="s">
        <v>24</v>
      </c>
      <c r="F58" s="56" t="s">
        <v>317</v>
      </c>
      <c r="G58" s="56" t="s">
        <v>67</v>
      </c>
      <c r="H58" s="56" t="s">
        <v>37</v>
      </c>
      <c r="K58" s="73"/>
      <c r="L58" s="52" t="s">
        <v>316</v>
      </c>
      <c r="M58" s="56" t="s">
        <v>318</v>
      </c>
      <c r="N58" s="56" t="s">
        <v>319</v>
      </c>
      <c r="O58" s="76" t="s">
        <v>314</v>
      </c>
      <c r="P58" s="56" t="s">
        <v>41</v>
      </c>
      <c r="Q58" s="56" t="s">
        <v>320</v>
      </c>
      <c r="S58" s="72"/>
    </row>
    <row r="59" ht="28.5" customHeight="1" spans="2:19">
      <c r="B59" s="52" t="s">
        <v>321</v>
      </c>
      <c r="C59" s="59" t="s">
        <v>111</v>
      </c>
      <c r="D59" s="75" t="s">
        <v>37</v>
      </c>
      <c r="E59" s="56" t="s">
        <v>37</v>
      </c>
      <c r="F59" s="73" t="s">
        <v>322</v>
      </c>
      <c r="G59" s="56" t="s">
        <v>67</v>
      </c>
      <c r="H59" s="56" t="s">
        <v>37</v>
      </c>
      <c r="K59" s="73"/>
      <c r="L59" s="52" t="s">
        <v>321</v>
      </c>
      <c r="M59" s="56" t="s">
        <v>323</v>
      </c>
      <c r="N59" s="56" t="s">
        <v>324</v>
      </c>
      <c r="O59" s="76" t="s">
        <v>314</v>
      </c>
      <c r="P59" s="56" t="s">
        <v>41</v>
      </c>
      <c r="Q59" s="56" t="s">
        <v>325</v>
      </c>
      <c r="S59" s="72"/>
    </row>
    <row r="60" ht="28.5" customHeight="1" spans="2:19">
      <c r="B60" s="52" t="s">
        <v>326</v>
      </c>
      <c r="C60" s="59" t="s">
        <v>117</v>
      </c>
      <c r="D60" s="75" t="s">
        <v>37</v>
      </c>
      <c r="E60" s="56" t="s">
        <v>46</v>
      </c>
      <c r="F60" s="73" t="s">
        <v>306</v>
      </c>
      <c r="G60" s="56" t="s">
        <v>67</v>
      </c>
      <c r="H60" s="56" t="s">
        <v>37</v>
      </c>
      <c r="K60" s="73"/>
      <c r="L60" s="52" t="s">
        <v>326</v>
      </c>
      <c r="M60" s="56" t="s">
        <v>327</v>
      </c>
      <c r="N60" s="56" t="s">
        <v>328</v>
      </c>
      <c r="O60" s="76" t="s">
        <v>314</v>
      </c>
      <c r="P60" s="56" t="s">
        <v>41</v>
      </c>
      <c r="Q60" s="56" t="s">
        <v>309</v>
      </c>
      <c r="S60" s="72"/>
    </row>
    <row r="61" ht="28.5" customHeight="1" spans="2:19">
      <c r="B61" s="52" t="s">
        <v>329</v>
      </c>
      <c r="C61" s="59" t="s">
        <v>121</v>
      </c>
      <c r="D61" s="75" t="s">
        <v>37</v>
      </c>
      <c r="E61" s="56" t="s">
        <v>25</v>
      </c>
      <c r="F61" s="56" t="s">
        <v>330</v>
      </c>
      <c r="G61" s="56" t="s">
        <v>67</v>
      </c>
      <c r="H61" s="56" t="s">
        <v>46</v>
      </c>
      <c r="K61" s="73"/>
      <c r="L61" s="52" t="s">
        <v>329</v>
      </c>
      <c r="M61" s="56" t="s">
        <v>331</v>
      </c>
      <c r="N61" s="56" t="s">
        <v>332</v>
      </c>
      <c r="O61" s="76" t="s">
        <v>333</v>
      </c>
      <c r="P61" s="56" t="s">
        <v>41</v>
      </c>
      <c r="Q61" s="56" t="s">
        <v>50</v>
      </c>
      <c r="S61" s="72"/>
    </row>
    <row r="62" ht="28.5" customHeight="1" spans="2:19">
      <c r="B62" s="52" t="s">
        <v>334</v>
      </c>
      <c r="C62" s="59" t="s">
        <v>128</v>
      </c>
      <c r="D62" s="75" t="s">
        <v>37</v>
      </c>
      <c r="E62" s="56" t="s">
        <v>24</v>
      </c>
      <c r="F62" s="56" t="s">
        <v>317</v>
      </c>
      <c r="G62" s="56" t="s">
        <v>67</v>
      </c>
      <c r="H62" s="56" t="s">
        <v>46</v>
      </c>
      <c r="K62" s="73"/>
      <c r="L62" s="52" t="s">
        <v>334</v>
      </c>
      <c r="M62" s="56" t="s">
        <v>335</v>
      </c>
      <c r="N62" s="56" t="s">
        <v>336</v>
      </c>
      <c r="O62" s="76" t="s">
        <v>333</v>
      </c>
      <c r="P62" s="56" t="s">
        <v>41</v>
      </c>
      <c r="Q62" s="56" t="s">
        <v>320</v>
      </c>
      <c r="S62" s="72"/>
    </row>
    <row r="63" ht="28.5" customHeight="1" spans="2:19">
      <c r="B63" s="52" t="s">
        <v>337</v>
      </c>
      <c r="C63" s="59" t="s">
        <v>132</v>
      </c>
      <c r="D63" s="75" t="s">
        <v>37</v>
      </c>
      <c r="E63" s="56" t="s">
        <v>37</v>
      </c>
      <c r="F63" s="73" t="s">
        <v>338</v>
      </c>
      <c r="G63" s="56" t="s">
        <v>67</v>
      </c>
      <c r="H63" s="56" t="s">
        <v>46</v>
      </c>
      <c r="K63" s="73"/>
      <c r="L63" s="52" t="s">
        <v>337</v>
      </c>
      <c r="M63" s="56" t="s">
        <v>339</v>
      </c>
      <c r="N63" s="56" t="s">
        <v>340</v>
      </c>
      <c r="O63" s="76" t="s">
        <v>333</v>
      </c>
      <c r="P63" s="56" t="s">
        <v>41</v>
      </c>
      <c r="Q63" s="56" t="s">
        <v>341</v>
      </c>
      <c r="S63" s="72"/>
    </row>
    <row r="64" ht="28.5" customHeight="1" spans="2:19">
      <c r="B64" s="52" t="s">
        <v>342</v>
      </c>
      <c r="C64" s="59" t="s">
        <v>138</v>
      </c>
      <c r="D64" s="75" t="s">
        <v>37</v>
      </c>
      <c r="E64" s="56" t="s">
        <v>46</v>
      </c>
      <c r="F64" s="73" t="s">
        <v>306</v>
      </c>
      <c r="G64" s="56" t="s">
        <v>67</v>
      </c>
      <c r="H64" s="56" t="s">
        <v>46</v>
      </c>
      <c r="K64" s="73"/>
      <c r="L64" s="52" t="s">
        <v>342</v>
      </c>
      <c r="M64" s="56" t="s">
        <v>343</v>
      </c>
      <c r="N64" s="56" t="s">
        <v>344</v>
      </c>
      <c r="O64" s="76" t="s">
        <v>333</v>
      </c>
      <c r="P64" s="56" t="s">
        <v>41</v>
      </c>
      <c r="Q64" s="56" t="s">
        <v>309</v>
      </c>
      <c r="S64" s="72"/>
    </row>
    <row r="65" ht="28.5" customHeight="1" spans="2:19">
      <c r="B65" s="52" t="s">
        <v>345</v>
      </c>
      <c r="C65" s="59" t="s">
        <v>142</v>
      </c>
      <c r="D65" s="75" t="s">
        <v>37</v>
      </c>
      <c r="E65" s="56" t="s">
        <v>25</v>
      </c>
      <c r="F65" s="56" t="s">
        <v>346</v>
      </c>
      <c r="G65" s="56" t="s">
        <v>67</v>
      </c>
      <c r="H65" s="56" t="s">
        <v>53</v>
      </c>
      <c r="K65" s="73"/>
      <c r="L65" s="52" t="s">
        <v>345</v>
      </c>
      <c r="M65" s="56" t="s">
        <v>347</v>
      </c>
      <c r="N65" s="56" t="s">
        <v>348</v>
      </c>
      <c r="O65" s="76" t="s">
        <v>349</v>
      </c>
      <c r="P65" s="56" t="s">
        <v>41</v>
      </c>
      <c r="Q65" s="56" t="s">
        <v>350</v>
      </c>
      <c r="S65" s="72"/>
    </row>
    <row r="66" ht="28.5" customHeight="1" spans="2:19">
      <c r="B66" s="52" t="s">
        <v>351</v>
      </c>
      <c r="C66" s="59" t="s">
        <v>148</v>
      </c>
      <c r="D66" s="75" t="s">
        <v>37</v>
      </c>
      <c r="E66" s="56" t="s">
        <v>24</v>
      </c>
      <c r="F66" s="56" t="s">
        <v>352</v>
      </c>
      <c r="G66" s="56" t="s">
        <v>67</v>
      </c>
      <c r="H66" s="56" t="s">
        <v>53</v>
      </c>
      <c r="K66" s="73"/>
      <c r="L66" s="52" t="s">
        <v>351</v>
      </c>
      <c r="M66" s="56" t="s">
        <v>353</v>
      </c>
      <c r="N66" s="56" t="s">
        <v>354</v>
      </c>
      <c r="O66" s="76" t="s">
        <v>349</v>
      </c>
      <c r="P66" s="56" t="s">
        <v>41</v>
      </c>
      <c r="Q66" s="56" t="s">
        <v>355</v>
      </c>
      <c r="S66" s="72"/>
    </row>
    <row r="67" ht="28.5" customHeight="1" spans="2:19">
      <c r="B67" s="52" t="s">
        <v>356</v>
      </c>
      <c r="C67" s="59" t="s">
        <v>154</v>
      </c>
      <c r="D67" s="75" t="s">
        <v>37</v>
      </c>
      <c r="E67" s="56" t="s">
        <v>37</v>
      </c>
      <c r="F67" s="73" t="s">
        <v>357</v>
      </c>
      <c r="G67" s="56" t="s">
        <v>67</v>
      </c>
      <c r="H67" s="56" t="s">
        <v>53</v>
      </c>
      <c r="K67" s="73"/>
      <c r="L67" s="52" t="s">
        <v>356</v>
      </c>
      <c r="M67" s="56" t="s">
        <v>358</v>
      </c>
      <c r="N67" s="56" t="s">
        <v>359</v>
      </c>
      <c r="O67" s="76" t="s">
        <v>349</v>
      </c>
      <c r="P67" s="56" t="s">
        <v>41</v>
      </c>
      <c r="Q67" s="56" t="s">
        <v>360</v>
      </c>
      <c r="S67" s="72"/>
    </row>
    <row r="68" ht="28.5" customHeight="1" spans="2:19">
      <c r="B68" s="52" t="s">
        <v>361</v>
      </c>
      <c r="C68" s="59" t="s">
        <v>160</v>
      </c>
      <c r="D68" s="75" t="s">
        <v>37</v>
      </c>
      <c r="E68" s="56" t="s">
        <v>46</v>
      </c>
      <c r="F68" s="73" t="s">
        <v>306</v>
      </c>
      <c r="G68" s="56" t="s">
        <v>67</v>
      </c>
      <c r="H68" s="56" t="s">
        <v>53</v>
      </c>
      <c r="K68" s="73"/>
      <c r="L68" s="52" t="s">
        <v>361</v>
      </c>
      <c r="M68" s="56" t="s">
        <v>362</v>
      </c>
      <c r="N68" s="56" t="s">
        <v>363</v>
      </c>
      <c r="O68" s="76" t="s">
        <v>349</v>
      </c>
      <c r="P68" s="56" t="s">
        <v>41</v>
      </c>
      <c r="Q68" s="56" t="s">
        <v>309</v>
      </c>
      <c r="S68" s="72"/>
    </row>
    <row r="69" ht="28.5" customHeight="1" spans="2:19">
      <c r="B69" s="52" t="s">
        <v>364</v>
      </c>
      <c r="C69" s="59" t="s">
        <v>164</v>
      </c>
      <c r="D69" s="75" t="s">
        <v>37</v>
      </c>
      <c r="E69" s="56" t="s">
        <v>25</v>
      </c>
      <c r="F69" s="56" t="s">
        <v>365</v>
      </c>
      <c r="G69" s="56" t="s">
        <v>67</v>
      </c>
      <c r="H69" s="56" t="s">
        <v>59</v>
      </c>
      <c r="K69" s="73"/>
      <c r="L69" s="52" t="s">
        <v>364</v>
      </c>
      <c r="M69" s="56" t="s">
        <v>366</v>
      </c>
      <c r="N69" s="56" t="s">
        <v>367</v>
      </c>
      <c r="O69" s="76" t="s">
        <v>368</v>
      </c>
      <c r="P69" s="56" t="s">
        <v>41</v>
      </c>
      <c r="Q69" s="56" t="s">
        <v>355</v>
      </c>
      <c r="S69" s="72"/>
    </row>
    <row r="70" ht="28.5" customHeight="1" spans="2:19">
      <c r="B70" s="52" t="s">
        <v>369</v>
      </c>
      <c r="C70" s="59" t="s">
        <v>171</v>
      </c>
      <c r="D70" s="75" t="s">
        <v>37</v>
      </c>
      <c r="E70" s="56" t="s">
        <v>24</v>
      </c>
      <c r="F70" s="56" t="s">
        <v>370</v>
      </c>
      <c r="G70" s="56" t="s">
        <v>67</v>
      </c>
      <c r="H70" s="56" t="s">
        <v>59</v>
      </c>
      <c r="K70" s="73"/>
      <c r="L70" s="52" t="s">
        <v>369</v>
      </c>
      <c r="M70" s="56" t="s">
        <v>371</v>
      </c>
      <c r="N70" s="56" t="s">
        <v>372</v>
      </c>
      <c r="O70" s="76" t="s">
        <v>368</v>
      </c>
      <c r="P70" s="56" t="s">
        <v>41</v>
      </c>
      <c r="Q70" s="56" t="s">
        <v>373</v>
      </c>
      <c r="S70" s="72"/>
    </row>
    <row r="71" ht="28.5" customHeight="1" spans="2:19">
      <c r="B71" s="52" t="s">
        <v>374</v>
      </c>
      <c r="C71" s="59" t="s">
        <v>177</v>
      </c>
      <c r="D71" s="75" t="s">
        <v>37</v>
      </c>
      <c r="E71" s="56" t="s">
        <v>37</v>
      </c>
      <c r="F71" s="73" t="s">
        <v>375</v>
      </c>
      <c r="G71" s="56" t="s">
        <v>67</v>
      </c>
      <c r="H71" s="56" t="s">
        <v>59</v>
      </c>
      <c r="K71" s="73"/>
      <c r="L71" s="52" t="s">
        <v>374</v>
      </c>
      <c r="M71" s="56" t="s">
        <v>376</v>
      </c>
      <c r="N71" s="56" t="s">
        <v>377</v>
      </c>
      <c r="O71" s="76" t="s">
        <v>368</v>
      </c>
      <c r="P71" s="56" t="s">
        <v>41</v>
      </c>
      <c r="Q71" s="56" t="s">
        <v>378</v>
      </c>
      <c r="S71" s="72"/>
    </row>
    <row r="72" ht="28.5" customHeight="1" spans="2:19">
      <c r="B72" s="52" t="s">
        <v>379</v>
      </c>
      <c r="C72" s="59" t="s">
        <v>183</v>
      </c>
      <c r="D72" s="75" t="s">
        <v>37</v>
      </c>
      <c r="E72" s="56" t="s">
        <v>46</v>
      </c>
      <c r="F72" s="73" t="s">
        <v>306</v>
      </c>
      <c r="G72" s="56" t="s">
        <v>67</v>
      </c>
      <c r="H72" s="56" t="s">
        <v>59</v>
      </c>
      <c r="K72" s="73"/>
      <c r="L72" s="52" t="s">
        <v>379</v>
      </c>
      <c r="M72" s="56" t="s">
        <v>380</v>
      </c>
      <c r="N72" s="56" t="s">
        <v>381</v>
      </c>
      <c r="O72" s="76" t="s">
        <v>368</v>
      </c>
      <c r="P72" s="56" t="s">
        <v>41</v>
      </c>
      <c r="Q72" s="56" t="s">
        <v>309</v>
      </c>
      <c r="S72" s="72"/>
    </row>
    <row r="73" ht="28.5" customHeight="1" spans="2:19">
      <c r="B73" s="52" t="s">
        <v>382</v>
      </c>
      <c r="C73" s="59" t="s">
        <v>187</v>
      </c>
      <c r="D73" s="75" t="s">
        <v>37</v>
      </c>
      <c r="E73" s="56" t="s">
        <v>25</v>
      </c>
      <c r="F73" s="56" t="s">
        <v>383</v>
      </c>
      <c r="G73" s="56" t="s">
        <v>67</v>
      </c>
      <c r="H73" s="56" t="s">
        <v>189</v>
      </c>
      <c r="K73" s="73"/>
      <c r="L73" s="52" t="s">
        <v>382</v>
      </c>
      <c r="M73" s="56" t="s">
        <v>384</v>
      </c>
      <c r="N73" s="56" t="s">
        <v>385</v>
      </c>
      <c r="O73" s="76" t="s">
        <v>386</v>
      </c>
      <c r="P73" s="56" t="s">
        <v>41</v>
      </c>
      <c r="Q73" s="56" t="s">
        <v>350</v>
      </c>
      <c r="S73" s="72"/>
    </row>
    <row r="74" ht="28.5" customHeight="1" spans="2:19">
      <c r="B74" s="52" t="s">
        <v>387</v>
      </c>
      <c r="C74" s="74" t="s">
        <v>194</v>
      </c>
      <c r="D74" s="75" t="s">
        <v>37</v>
      </c>
      <c r="E74" s="56" t="s">
        <v>24</v>
      </c>
      <c r="F74" s="56" t="s">
        <v>388</v>
      </c>
      <c r="G74" s="56" t="s">
        <v>67</v>
      </c>
      <c r="H74" s="56" t="s">
        <v>189</v>
      </c>
      <c r="K74" s="73"/>
      <c r="L74" s="52" t="s">
        <v>387</v>
      </c>
      <c r="M74" s="56" t="s">
        <v>389</v>
      </c>
      <c r="N74" s="56" t="s">
        <v>390</v>
      </c>
      <c r="O74" s="76" t="s">
        <v>386</v>
      </c>
      <c r="P74" s="56" t="s">
        <v>41</v>
      </c>
      <c r="Q74" s="56" t="s">
        <v>355</v>
      </c>
      <c r="S74" s="72"/>
    </row>
    <row r="75" ht="28.5" customHeight="1" spans="2:19">
      <c r="B75" s="52" t="s">
        <v>391</v>
      </c>
      <c r="C75" s="74" t="s">
        <v>199</v>
      </c>
      <c r="D75" s="75" t="s">
        <v>37</v>
      </c>
      <c r="E75" s="56" t="s">
        <v>37</v>
      </c>
      <c r="F75" s="73" t="s">
        <v>392</v>
      </c>
      <c r="G75" s="56" t="s">
        <v>67</v>
      </c>
      <c r="H75" s="56" t="s">
        <v>189</v>
      </c>
      <c r="K75" s="73"/>
      <c r="L75" s="52" t="s">
        <v>391</v>
      </c>
      <c r="M75" s="56" t="s">
        <v>393</v>
      </c>
      <c r="N75" s="56" t="s">
        <v>394</v>
      </c>
      <c r="O75" s="76" t="s">
        <v>386</v>
      </c>
      <c r="P75" s="56" t="s">
        <v>41</v>
      </c>
      <c r="Q75" s="56" t="s">
        <v>395</v>
      </c>
      <c r="S75" s="72"/>
    </row>
    <row r="76" ht="28.5" customHeight="1" spans="2:19">
      <c r="B76" s="52" t="s">
        <v>396</v>
      </c>
      <c r="C76" s="59" t="s">
        <v>204</v>
      </c>
      <c r="D76" s="75" t="s">
        <v>37</v>
      </c>
      <c r="E76" s="56" t="s">
        <v>46</v>
      </c>
      <c r="F76" s="73" t="s">
        <v>306</v>
      </c>
      <c r="G76" s="56" t="s">
        <v>67</v>
      </c>
      <c r="H76" s="56" t="s">
        <v>189</v>
      </c>
      <c r="K76" s="73"/>
      <c r="L76" s="52" t="s">
        <v>396</v>
      </c>
      <c r="M76" s="56" t="s">
        <v>397</v>
      </c>
      <c r="N76" s="56" t="s">
        <v>398</v>
      </c>
      <c r="O76" s="76" t="s">
        <v>386</v>
      </c>
      <c r="P76" s="56" t="s">
        <v>41</v>
      </c>
      <c r="Q76" s="56" t="s">
        <v>309</v>
      </c>
      <c r="S76" s="72"/>
    </row>
    <row r="77" ht="28.5" customHeight="1" spans="2:19">
      <c r="B77" s="52" t="s">
        <v>399</v>
      </c>
      <c r="C77" s="59" t="s">
        <v>208</v>
      </c>
      <c r="D77" s="75" t="s">
        <v>37</v>
      </c>
      <c r="E77" s="56" t="s">
        <v>25</v>
      </c>
      <c r="F77" s="56" t="s">
        <v>400</v>
      </c>
      <c r="G77" s="56" t="s">
        <v>67</v>
      </c>
      <c r="H77" s="56" t="s">
        <v>210</v>
      </c>
      <c r="K77" s="73"/>
      <c r="L77" s="52" t="s">
        <v>399</v>
      </c>
      <c r="M77" s="56" t="s">
        <v>401</v>
      </c>
      <c r="N77" s="56" t="s">
        <v>402</v>
      </c>
      <c r="O77" s="76" t="s">
        <v>403</v>
      </c>
      <c r="P77" s="56" t="s">
        <v>41</v>
      </c>
      <c r="Q77" s="56" t="s">
        <v>404</v>
      </c>
      <c r="S77" s="72"/>
    </row>
    <row r="78" ht="28.5" customHeight="1" spans="2:19">
      <c r="B78" s="52" t="s">
        <v>405</v>
      </c>
      <c r="C78" s="59" t="s">
        <v>216</v>
      </c>
      <c r="D78" s="75" t="s">
        <v>37</v>
      </c>
      <c r="E78" s="56" t="s">
        <v>24</v>
      </c>
      <c r="F78" s="56" t="s">
        <v>388</v>
      </c>
      <c r="G78" s="56" t="s">
        <v>67</v>
      </c>
      <c r="H78" s="56" t="s">
        <v>210</v>
      </c>
      <c r="K78" s="73"/>
      <c r="L78" s="52" t="s">
        <v>405</v>
      </c>
      <c r="M78" s="56" t="s">
        <v>406</v>
      </c>
      <c r="N78" s="56" t="s">
        <v>407</v>
      </c>
      <c r="O78" s="76" t="s">
        <v>403</v>
      </c>
      <c r="P78" s="56" t="s">
        <v>41</v>
      </c>
      <c r="Q78" s="56" t="s">
        <v>355</v>
      </c>
      <c r="S78" s="72"/>
    </row>
    <row r="79" ht="28.5" customHeight="1" spans="2:19">
      <c r="B79" s="52" t="s">
        <v>408</v>
      </c>
      <c r="C79" s="74" t="s">
        <v>220</v>
      </c>
      <c r="D79" s="75" t="s">
        <v>37</v>
      </c>
      <c r="E79" s="56" t="s">
        <v>37</v>
      </c>
      <c r="F79" s="73" t="s">
        <v>409</v>
      </c>
      <c r="G79" s="56" t="s">
        <v>67</v>
      </c>
      <c r="H79" s="56" t="s">
        <v>210</v>
      </c>
      <c r="K79" s="73"/>
      <c r="L79" s="52" t="s">
        <v>408</v>
      </c>
      <c r="M79" s="56" t="s">
        <v>410</v>
      </c>
      <c r="N79" s="56" t="s">
        <v>411</v>
      </c>
      <c r="O79" s="76" t="s">
        <v>403</v>
      </c>
      <c r="P79" s="56" t="s">
        <v>41</v>
      </c>
      <c r="Q79" s="56" t="s">
        <v>412</v>
      </c>
      <c r="S79" s="72"/>
    </row>
    <row r="80" ht="28.5" customHeight="1" spans="2:19">
      <c r="B80" s="52" t="s">
        <v>413</v>
      </c>
      <c r="C80" s="59" t="s">
        <v>226</v>
      </c>
      <c r="D80" s="75" t="s">
        <v>37</v>
      </c>
      <c r="E80" s="56" t="s">
        <v>46</v>
      </c>
      <c r="F80" s="73" t="s">
        <v>306</v>
      </c>
      <c r="G80" s="56" t="s">
        <v>67</v>
      </c>
      <c r="H80" s="56" t="s">
        <v>210</v>
      </c>
      <c r="K80" s="73"/>
      <c r="L80" s="52" t="s">
        <v>413</v>
      </c>
      <c r="M80" s="56" t="s">
        <v>414</v>
      </c>
      <c r="N80" s="56" t="s">
        <v>415</v>
      </c>
      <c r="O80" s="76" t="s">
        <v>403</v>
      </c>
      <c r="P80" s="56" t="s">
        <v>41</v>
      </c>
      <c r="Q80" s="56" t="s">
        <v>309</v>
      </c>
      <c r="S80" s="72"/>
    </row>
    <row r="81" ht="28.5" customHeight="1" spans="2:19">
      <c r="B81" s="52" t="s">
        <v>416</v>
      </c>
      <c r="C81" s="59" t="s">
        <v>230</v>
      </c>
      <c r="D81" s="75" t="s">
        <v>37</v>
      </c>
      <c r="E81" s="56" t="s">
        <v>25</v>
      </c>
      <c r="F81" s="56" t="s">
        <v>417</v>
      </c>
      <c r="G81" s="56" t="s">
        <v>67</v>
      </c>
      <c r="H81" s="56" t="s">
        <v>232</v>
      </c>
      <c r="K81" s="73"/>
      <c r="L81" s="52" t="s">
        <v>416</v>
      </c>
      <c r="M81" s="56" t="s">
        <v>418</v>
      </c>
      <c r="N81" s="56" t="s">
        <v>419</v>
      </c>
      <c r="O81" s="76" t="s">
        <v>420</v>
      </c>
      <c r="P81" s="56" t="s">
        <v>41</v>
      </c>
      <c r="Q81" s="56" t="s">
        <v>373</v>
      </c>
      <c r="S81" s="72"/>
    </row>
    <row r="82" ht="28.5" customHeight="1" spans="2:19">
      <c r="B82" s="52" t="s">
        <v>421</v>
      </c>
      <c r="C82" s="59" t="s">
        <v>237</v>
      </c>
      <c r="D82" s="75" t="s">
        <v>37</v>
      </c>
      <c r="E82" s="56" t="s">
        <v>24</v>
      </c>
      <c r="F82" s="56" t="s">
        <v>422</v>
      </c>
      <c r="G82" s="56" t="s">
        <v>67</v>
      </c>
      <c r="H82" s="56" t="s">
        <v>232</v>
      </c>
      <c r="K82" s="73"/>
      <c r="L82" s="52" t="s">
        <v>421</v>
      </c>
      <c r="M82" s="56" t="s">
        <v>423</v>
      </c>
      <c r="N82" s="56" t="s">
        <v>424</v>
      </c>
      <c r="O82" s="76" t="s">
        <v>420</v>
      </c>
      <c r="P82" s="56" t="s">
        <v>41</v>
      </c>
      <c r="Q82" s="56" t="s">
        <v>214</v>
      </c>
      <c r="S82" s="72"/>
    </row>
    <row r="83" ht="28.5" customHeight="1" spans="2:19">
      <c r="B83" s="52" t="s">
        <v>425</v>
      </c>
      <c r="C83" s="59" t="s">
        <v>243</v>
      </c>
      <c r="D83" s="75" t="s">
        <v>37</v>
      </c>
      <c r="E83" s="56" t="s">
        <v>37</v>
      </c>
      <c r="F83" s="73" t="s">
        <v>426</v>
      </c>
      <c r="G83" s="56" t="s">
        <v>67</v>
      </c>
      <c r="H83" s="56" t="s">
        <v>232</v>
      </c>
      <c r="K83" s="73"/>
      <c r="L83" s="52" t="s">
        <v>425</v>
      </c>
      <c r="M83" s="56" t="s">
        <v>427</v>
      </c>
      <c r="N83" s="56" t="s">
        <v>428</v>
      </c>
      <c r="O83" s="76" t="s">
        <v>420</v>
      </c>
      <c r="P83" s="56" t="s">
        <v>41</v>
      </c>
      <c r="Q83" s="56" t="s">
        <v>429</v>
      </c>
      <c r="S83" s="72"/>
    </row>
    <row r="84" ht="28.5" customHeight="1" spans="2:19">
      <c r="B84" s="52" t="s">
        <v>430</v>
      </c>
      <c r="C84" s="59" t="s">
        <v>249</v>
      </c>
      <c r="D84" s="75" t="s">
        <v>37</v>
      </c>
      <c r="E84" s="56" t="s">
        <v>46</v>
      </c>
      <c r="F84" s="73" t="s">
        <v>306</v>
      </c>
      <c r="G84" s="56" t="s">
        <v>67</v>
      </c>
      <c r="H84" s="56" t="s">
        <v>232</v>
      </c>
      <c r="K84" s="73"/>
      <c r="L84" s="52" t="s">
        <v>430</v>
      </c>
      <c r="M84" s="56" t="s">
        <v>431</v>
      </c>
      <c r="N84" s="56" t="s">
        <v>432</v>
      </c>
      <c r="O84" s="76" t="s">
        <v>420</v>
      </c>
      <c r="P84" s="56" t="s">
        <v>41</v>
      </c>
      <c r="Q84" s="56" t="s">
        <v>309</v>
      </c>
      <c r="S84" s="72"/>
    </row>
    <row r="85" ht="28.5" customHeight="1" spans="2:19">
      <c r="B85" s="52" t="s">
        <v>433</v>
      </c>
      <c r="C85" s="59" t="s">
        <v>253</v>
      </c>
      <c r="D85" s="75" t="s">
        <v>37</v>
      </c>
      <c r="E85" s="56" t="s">
        <v>25</v>
      </c>
      <c r="F85" s="56" t="s">
        <v>383</v>
      </c>
      <c r="G85" s="56" t="s">
        <v>67</v>
      </c>
      <c r="H85" s="56" t="s">
        <v>254</v>
      </c>
      <c r="K85" s="73"/>
      <c r="L85" s="52" t="s">
        <v>433</v>
      </c>
      <c r="M85" s="56" t="s">
        <v>434</v>
      </c>
      <c r="N85" s="56" t="s">
        <v>435</v>
      </c>
      <c r="O85" s="76" t="s">
        <v>436</v>
      </c>
      <c r="P85" s="56" t="s">
        <v>41</v>
      </c>
      <c r="Q85" s="56" t="s">
        <v>350</v>
      </c>
      <c r="S85" s="72"/>
    </row>
    <row r="86" ht="28.5" customHeight="1" spans="2:19">
      <c r="B86" s="52" t="s">
        <v>437</v>
      </c>
      <c r="C86" s="59" t="s">
        <v>259</v>
      </c>
      <c r="D86" s="75" t="s">
        <v>37</v>
      </c>
      <c r="E86" s="56" t="s">
        <v>24</v>
      </c>
      <c r="F86" s="56" t="s">
        <v>438</v>
      </c>
      <c r="G86" s="56" t="s">
        <v>67</v>
      </c>
      <c r="H86" s="56" t="s">
        <v>254</v>
      </c>
      <c r="K86" s="73"/>
      <c r="L86" s="52" t="s">
        <v>437</v>
      </c>
      <c r="M86" s="56" t="s">
        <v>439</v>
      </c>
      <c r="N86" s="56" t="s">
        <v>440</v>
      </c>
      <c r="O86" s="76" t="s">
        <v>436</v>
      </c>
      <c r="P86" s="56" t="s">
        <v>41</v>
      </c>
      <c r="Q86" s="56" t="s">
        <v>31</v>
      </c>
      <c r="S86" s="72"/>
    </row>
    <row r="87" ht="28.5" customHeight="1" spans="2:19">
      <c r="B87" s="52" t="s">
        <v>441</v>
      </c>
      <c r="C87" s="59" t="s">
        <v>265</v>
      </c>
      <c r="D87" s="75" t="s">
        <v>37</v>
      </c>
      <c r="E87" s="56" t="s">
        <v>37</v>
      </c>
      <c r="F87" s="73" t="s">
        <v>442</v>
      </c>
      <c r="G87" s="56" t="s">
        <v>67</v>
      </c>
      <c r="H87" s="56" t="s">
        <v>254</v>
      </c>
      <c r="K87" s="73"/>
      <c r="L87" s="52" t="s">
        <v>441</v>
      </c>
      <c r="M87" s="56" t="s">
        <v>443</v>
      </c>
      <c r="N87" s="56" t="s">
        <v>444</v>
      </c>
      <c r="O87" s="76" t="s">
        <v>436</v>
      </c>
      <c r="P87" s="56" t="s">
        <v>41</v>
      </c>
      <c r="Q87" s="56" t="s">
        <v>445</v>
      </c>
      <c r="S87" s="72"/>
    </row>
    <row r="88" ht="28.5" customHeight="1" spans="2:19">
      <c r="B88" s="52" t="s">
        <v>446</v>
      </c>
      <c r="C88" s="59" t="s">
        <v>271</v>
      </c>
      <c r="D88" s="75" t="s">
        <v>37</v>
      </c>
      <c r="E88" s="56" t="s">
        <v>46</v>
      </c>
      <c r="F88" s="73" t="s">
        <v>306</v>
      </c>
      <c r="G88" s="56" t="s">
        <v>67</v>
      </c>
      <c r="H88" s="56" t="s">
        <v>254</v>
      </c>
      <c r="K88" s="73"/>
      <c r="L88" s="52" t="s">
        <v>446</v>
      </c>
      <c r="M88" s="56" t="s">
        <v>447</v>
      </c>
      <c r="N88" s="56" t="s">
        <v>448</v>
      </c>
      <c r="O88" s="76" t="s">
        <v>436</v>
      </c>
      <c r="P88" s="56" t="s">
        <v>41</v>
      </c>
      <c r="Q88" s="56" t="s">
        <v>309</v>
      </c>
      <c r="S88" s="72"/>
    </row>
    <row r="89" ht="28.5" customHeight="1" spans="2:19">
      <c r="B89" s="52" t="s">
        <v>449</v>
      </c>
      <c r="C89" s="59" t="s">
        <v>275</v>
      </c>
      <c r="D89" s="75" t="s">
        <v>37</v>
      </c>
      <c r="E89" s="56" t="s">
        <v>25</v>
      </c>
      <c r="F89" s="56" t="s">
        <v>450</v>
      </c>
      <c r="G89" s="56" t="s">
        <v>67</v>
      </c>
      <c r="H89" s="56" t="s">
        <v>276</v>
      </c>
      <c r="K89" s="73"/>
      <c r="L89" s="52" t="s">
        <v>449</v>
      </c>
      <c r="M89" s="56" t="s">
        <v>451</v>
      </c>
      <c r="N89" s="56" t="s">
        <v>452</v>
      </c>
      <c r="O89" s="76" t="s">
        <v>453</v>
      </c>
      <c r="P89" s="56" t="s">
        <v>41</v>
      </c>
      <c r="Q89" s="56" t="s">
        <v>50</v>
      </c>
      <c r="S89" s="72"/>
    </row>
    <row r="90" ht="28.5" customHeight="1" spans="2:19">
      <c r="B90" s="52" t="s">
        <v>454</v>
      </c>
      <c r="C90" s="59" t="s">
        <v>281</v>
      </c>
      <c r="D90" s="75" t="s">
        <v>37</v>
      </c>
      <c r="E90" s="56" t="s">
        <v>24</v>
      </c>
      <c r="F90" s="56" t="s">
        <v>388</v>
      </c>
      <c r="G90" s="56" t="s">
        <v>67</v>
      </c>
      <c r="H90" s="56" t="s">
        <v>276</v>
      </c>
      <c r="K90" s="73"/>
      <c r="L90" s="52" t="s">
        <v>454</v>
      </c>
      <c r="M90" s="56" t="s">
        <v>455</v>
      </c>
      <c r="N90" s="56" t="s">
        <v>456</v>
      </c>
      <c r="O90" s="76" t="s">
        <v>453</v>
      </c>
      <c r="P90" s="56" t="s">
        <v>41</v>
      </c>
      <c r="Q90" s="56" t="s">
        <v>355</v>
      </c>
      <c r="S90" s="72"/>
    </row>
    <row r="91" ht="28.5" customHeight="1" spans="2:19">
      <c r="B91" s="52" t="s">
        <v>457</v>
      </c>
      <c r="C91" s="59" t="s">
        <v>285</v>
      </c>
      <c r="D91" s="75" t="s">
        <v>37</v>
      </c>
      <c r="E91" s="56" t="s">
        <v>37</v>
      </c>
      <c r="F91" s="73" t="s">
        <v>392</v>
      </c>
      <c r="G91" s="56" t="s">
        <v>67</v>
      </c>
      <c r="H91" s="56" t="s">
        <v>276</v>
      </c>
      <c r="K91" s="73"/>
      <c r="L91" s="52" t="s">
        <v>457</v>
      </c>
      <c r="M91" s="56" t="s">
        <v>458</v>
      </c>
      <c r="N91" s="56" t="s">
        <v>459</v>
      </c>
      <c r="O91" s="76" t="s">
        <v>453</v>
      </c>
      <c r="P91" s="56" t="s">
        <v>41</v>
      </c>
      <c r="Q91" s="56" t="s">
        <v>395</v>
      </c>
      <c r="S91" s="72"/>
    </row>
    <row r="92" ht="35.25" customHeight="1" spans="2:19">
      <c r="B92" s="52" t="s">
        <v>460</v>
      </c>
      <c r="C92" s="59" t="s">
        <v>289</v>
      </c>
      <c r="D92" s="75" t="s">
        <v>37</v>
      </c>
      <c r="E92" s="56" t="s">
        <v>46</v>
      </c>
      <c r="F92" s="73" t="s">
        <v>306</v>
      </c>
      <c r="G92" s="56" t="s">
        <v>67</v>
      </c>
      <c r="H92" s="56" t="s">
        <v>276</v>
      </c>
      <c r="K92" s="73"/>
      <c r="L92" s="52" t="s">
        <v>460</v>
      </c>
      <c r="M92" s="56" t="s">
        <v>461</v>
      </c>
      <c r="N92" s="56" t="s">
        <v>462</v>
      </c>
      <c r="O92" s="76" t="s">
        <v>453</v>
      </c>
      <c r="P92" s="56" t="s">
        <v>41</v>
      </c>
      <c r="Q92" s="52" t="s">
        <v>309</v>
      </c>
      <c r="S92" s="72"/>
    </row>
    <row r="93" ht="39" customHeight="1" spans="2:19">
      <c r="B93" s="53" t="s">
        <v>463</v>
      </c>
      <c r="C93" s="59" t="s">
        <v>75</v>
      </c>
      <c r="D93" s="78" t="s">
        <v>46</v>
      </c>
      <c r="E93" s="56" t="s">
        <v>25</v>
      </c>
      <c r="F93" s="56" t="s">
        <v>47</v>
      </c>
      <c r="G93" s="56" t="s">
        <v>67</v>
      </c>
      <c r="H93" s="56" t="s">
        <v>24</v>
      </c>
      <c r="L93" s="53" t="s">
        <v>463</v>
      </c>
      <c r="M93" s="56" t="s">
        <v>464</v>
      </c>
      <c r="N93" s="56" t="s">
        <v>465</v>
      </c>
      <c r="O93" s="79" t="s">
        <v>466</v>
      </c>
      <c r="P93" s="56" t="s">
        <v>49</v>
      </c>
      <c r="Q93" s="58" t="s">
        <v>50</v>
      </c>
      <c r="S93" s="72"/>
    </row>
    <row r="94" ht="31.5" customHeight="1" spans="2:19">
      <c r="B94" s="53" t="s">
        <v>467</v>
      </c>
      <c r="C94" s="59" t="s">
        <v>80</v>
      </c>
      <c r="D94" s="78" t="s">
        <v>46</v>
      </c>
      <c r="E94" s="56" t="s">
        <v>24</v>
      </c>
      <c r="F94" s="56" t="s">
        <v>468</v>
      </c>
      <c r="G94" s="56" t="s">
        <v>67</v>
      </c>
      <c r="H94" s="56" t="s">
        <v>24</v>
      </c>
      <c r="L94" s="53" t="s">
        <v>467</v>
      </c>
      <c r="M94" s="56" t="s">
        <v>469</v>
      </c>
      <c r="N94" s="56" t="s">
        <v>470</v>
      </c>
      <c r="O94" s="79" t="s">
        <v>466</v>
      </c>
      <c r="P94" s="56" t="s">
        <v>49</v>
      </c>
      <c r="Q94" s="56" t="s">
        <v>471</v>
      </c>
      <c r="S94" s="72"/>
    </row>
    <row r="95" ht="31.5" customHeight="1" spans="2:19">
      <c r="B95" s="53" t="s">
        <v>472</v>
      </c>
      <c r="C95" s="59" t="s">
        <v>86</v>
      </c>
      <c r="D95" s="78" t="s">
        <v>46</v>
      </c>
      <c r="E95" s="56" t="s">
        <v>37</v>
      </c>
      <c r="F95" s="73" t="s">
        <v>473</v>
      </c>
      <c r="G95" s="56" t="s">
        <v>67</v>
      </c>
      <c r="H95" s="56" t="s">
        <v>24</v>
      </c>
      <c r="L95" s="53" t="s">
        <v>472</v>
      </c>
      <c r="M95" s="56" t="s">
        <v>474</v>
      </c>
      <c r="N95" s="56" t="s">
        <v>475</v>
      </c>
      <c r="O95" s="79" t="s">
        <v>466</v>
      </c>
      <c r="P95" s="56" t="s">
        <v>49</v>
      </c>
      <c r="Q95" s="56" t="s">
        <v>476</v>
      </c>
      <c r="S95" s="72"/>
    </row>
    <row r="96" ht="31.5" customHeight="1" spans="2:19">
      <c r="B96" s="53" t="s">
        <v>477</v>
      </c>
      <c r="C96" s="59" t="s">
        <v>92</v>
      </c>
      <c r="D96" s="78" t="s">
        <v>46</v>
      </c>
      <c r="E96" s="56" t="s">
        <v>46</v>
      </c>
      <c r="F96" s="73" t="s">
        <v>478</v>
      </c>
      <c r="G96" s="56" t="s">
        <v>67</v>
      </c>
      <c r="H96" s="56" t="s">
        <v>24</v>
      </c>
      <c r="L96" s="53" t="s">
        <v>477</v>
      </c>
      <c r="M96" s="56" t="s">
        <v>479</v>
      </c>
      <c r="N96" s="56" t="s">
        <v>480</v>
      </c>
      <c r="O96" s="79" t="s">
        <v>466</v>
      </c>
      <c r="P96" s="56" t="s">
        <v>49</v>
      </c>
      <c r="Q96" s="56" t="s">
        <v>481</v>
      </c>
      <c r="S96" s="72"/>
    </row>
    <row r="97" ht="31.5" customHeight="1" spans="2:19">
      <c r="B97" s="53" t="s">
        <v>482</v>
      </c>
      <c r="C97" s="59" t="s">
        <v>98</v>
      </c>
      <c r="D97" s="78" t="s">
        <v>46</v>
      </c>
      <c r="E97" s="56" t="s">
        <v>25</v>
      </c>
      <c r="F97" s="56" t="s">
        <v>483</v>
      </c>
      <c r="G97" s="56" t="s">
        <v>67</v>
      </c>
      <c r="H97" s="56" t="s">
        <v>37</v>
      </c>
      <c r="L97" s="53" t="s">
        <v>482</v>
      </c>
      <c r="M97" s="56" t="s">
        <v>484</v>
      </c>
      <c r="N97" s="56" t="s">
        <v>485</v>
      </c>
      <c r="O97" s="79" t="s">
        <v>486</v>
      </c>
      <c r="P97" s="56" t="s">
        <v>49</v>
      </c>
      <c r="Q97" s="56" t="s">
        <v>487</v>
      </c>
      <c r="S97" s="72"/>
    </row>
    <row r="98" ht="31.5" customHeight="1" spans="2:19">
      <c r="B98" s="53" t="s">
        <v>488</v>
      </c>
      <c r="C98" s="59" t="s">
        <v>105</v>
      </c>
      <c r="D98" s="78" t="s">
        <v>46</v>
      </c>
      <c r="E98" s="56" t="s">
        <v>24</v>
      </c>
      <c r="F98" s="56" t="s">
        <v>489</v>
      </c>
      <c r="G98" s="56" t="s">
        <v>67</v>
      </c>
      <c r="H98" s="56" t="s">
        <v>37</v>
      </c>
      <c r="L98" s="53" t="s">
        <v>488</v>
      </c>
      <c r="M98" s="56" t="s">
        <v>490</v>
      </c>
      <c r="N98" s="56" t="s">
        <v>491</v>
      </c>
      <c r="O98" s="79" t="s">
        <v>486</v>
      </c>
      <c r="P98" s="56" t="s">
        <v>49</v>
      </c>
      <c r="Q98" s="56" t="s">
        <v>492</v>
      </c>
      <c r="S98" s="72"/>
    </row>
    <row r="99" ht="31.5" customHeight="1" spans="2:19">
      <c r="B99" s="53" t="s">
        <v>493</v>
      </c>
      <c r="C99" s="59" t="s">
        <v>111</v>
      </c>
      <c r="D99" s="78" t="s">
        <v>46</v>
      </c>
      <c r="E99" s="56" t="s">
        <v>37</v>
      </c>
      <c r="F99" s="73" t="s">
        <v>494</v>
      </c>
      <c r="G99" s="56" t="s">
        <v>67</v>
      </c>
      <c r="H99" s="56" t="s">
        <v>37</v>
      </c>
      <c r="L99" s="53" t="s">
        <v>493</v>
      </c>
      <c r="M99" s="56" t="s">
        <v>495</v>
      </c>
      <c r="N99" s="56" t="s">
        <v>496</v>
      </c>
      <c r="O99" s="79" t="s">
        <v>486</v>
      </c>
      <c r="P99" s="56" t="s">
        <v>49</v>
      </c>
      <c r="Q99" s="56" t="s">
        <v>497</v>
      </c>
      <c r="S99" s="72"/>
    </row>
    <row r="100" ht="31.5" customHeight="1" spans="2:19">
      <c r="B100" s="53" t="s">
        <v>498</v>
      </c>
      <c r="C100" s="59" t="s">
        <v>117</v>
      </c>
      <c r="D100" s="78" t="s">
        <v>46</v>
      </c>
      <c r="E100" s="56" t="s">
        <v>46</v>
      </c>
      <c r="F100" s="73" t="s">
        <v>478</v>
      </c>
      <c r="G100" s="56" t="s">
        <v>67</v>
      </c>
      <c r="H100" s="56" t="s">
        <v>37</v>
      </c>
      <c r="L100" s="53" t="s">
        <v>498</v>
      </c>
      <c r="M100" s="56" t="s">
        <v>499</v>
      </c>
      <c r="N100" s="56" t="s">
        <v>500</v>
      </c>
      <c r="O100" s="79" t="s">
        <v>486</v>
      </c>
      <c r="P100" s="56" t="s">
        <v>49</v>
      </c>
      <c r="Q100" s="56" t="s">
        <v>481</v>
      </c>
      <c r="S100" s="72"/>
    </row>
    <row r="101" ht="31.5" customHeight="1" spans="2:19">
      <c r="B101" s="53" t="s">
        <v>501</v>
      </c>
      <c r="C101" s="59" t="s">
        <v>121</v>
      </c>
      <c r="D101" s="78" t="s">
        <v>46</v>
      </c>
      <c r="E101" s="56" t="s">
        <v>25</v>
      </c>
      <c r="F101" s="56" t="s">
        <v>502</v>
      </c>
      <c r="G101" s="56" t="s">
        <v>67</v>
      </c>
      <c r="H101" s="56" t="s">
        <v>46</v>
      </c>
      <c r="L101" s="53" t="s">
        <v>501</v>
      </c>
      <c r="M101" s="56" t="s">
        <v>503</v>
      </c>
      <c r="N101" s="56" t="s">
        <v>504</v>
      </c>
      <c r="O101" s="79" t="s">
        <v>505</v>
      </c>
      <c r="P101" s="56" t="s">
        <v>49</v>
      </c>
      <c r="Q101" s="56" t="s">
        <v>506</v>
      </c>
      <c r="S101" s="72"/>
    </row>
    <row r="102" ht="31.5" customHeight="1" spans="2:19">
      <c r="B102" s="53" t="s">
        <v>507</v>
      </c>
      <c r="C102" s="59" t="s">
        <v>128</v>
      </c>
      <c r="D102" s="78" t="s">
        <v>46</v>
      </c>
      <c r="E102" s="56" t="s">
        <v>24</v>
      </c>
      <c r="F102" s="56" t="s">
        <v>489</v>
      </c>
      <c r="G102" s="56" t="s">
        <v>67</v>
      </c>
      <c r="H102" s="56" t="s">
        <v>46</v>
      </c>
      <c r="L102" s="53" t="s">
        <v>507</v>
      </c>
      <c r="M102" s="56" t="s">
        <v>508</v>
      </c>
      <c r="N102" s="56" t="s">
        <v>509</v>
      </c>
      <c r="O102" s="79" t="s">
        <v>505</v>
      </c>
      <c r="P102" s="56" t="s">
        <v>49</v>
      </c>
      <c r="Q102" s="56" t="s">
        <v>492</v>
      </c>
      <c r="S102" s="72"/>
    </row>
    <row r="103" ht="31.5" customHeight="1" spans="2:19">
      <c r="B103" s="53" t="s">
        <v>510</v>
      </c>
      <c r="C103" s="59" t="s">
        <v>132</v>
      </c>
      <c r="D103" s="78" t="s">
        <v>46</v>
      </c>
      <c r="E103" s="56" t="s">
        <v>37</v>
      </c>
      <c r="F103" s="73" t="s">
        <v>511</v>
      </c>
      <c r="G103" s="56" t="s">
        <v>67</v>
      </c>
      <c r="H103" s="56" t="s">
        <v>46</v>
      </c>
      <c r="L103" s="53" t="s">
        <v>510</v>
      </c>
      <c r="M103" s="56" t="s">
        <v>512</v>
      </c>
      <c r="N103" s="56" t="s">
        <v>513</v>
      </c>
      <c r="O103" s="79" t="s">
        <v>505</v>
      </c>
      <c r="P103" s="56" t="s">
        <v>49</v>
      </c>
      <c r="Q103" s="56" t="s">
        <v>514</v>
      </c>
      <c r="S103" s="72"/>
    </row>
    <row r="104" ht="31.5" customHeight="1" spans="2:19">
      <c r="B104" s="53" t="s">
        <v>515</v>
      </c>
      <c r="C104" s="59" t="s">
        <v>138</v>
      </c>
      <c r="D104" s="78" t="s">
        <v>46</v>
      </c>
      <c r="E104" s="56" t="s">
        <v>46</v>
      </c>
      <c r="F104" s="73" t="s">
        <v>478</v>
      </c>
      <c r="G104" s="56" t="s">
        <v>67</v>
      </c>
      <c r="H104" s="56" t="s">
        <v>46</v>
      </c>
      <c r="L104" s="53" t="s">
        <v>515</v>
      </c>
      <c r="M104" s="56" t="s">
        <v>516</v>
      </c>
      <c r="N104" s="56" t="s">
        <v>517</v>
      </c>
      <c r="O104" s="79" t="s">
        <v>505</v>
      </c>
      <c r="P104" s="56" t="s">
        <v>49</v>
      </c>
      <c r="Q104" s="56" t="s">
        <v>481</v>
      </c>
      <c r="S104" s="72"/>
    </row>
    <row r="105" ht="31.5" customHeight="1" spans="2:19">
      <c r="B105" s="53" t="s">
        <v>518</v>
      </c>
      <c r="C105" s="59" t="s">
        <v>142</v>
      </c>
      <c r="D105" s="78" t="s">
        <v>46</v>
      </c>
      <c r="E105" s="56" t="s">
        <v>25</v>
      </c>
      <c r="F105" s="56" t="s">
        <v>519</v>
      </c>
      <c r="G105" s="56" t="s">
        <v>67</v>
      </c>
      <c r="H105" s="56" t="s">
        <v>53</v>
      </c>
      <c r="L105" s="53" t="s">
        <v>518</v>
      </c>
      <c r="M105" s="56" t="s">
        <v>520</v>
      </c>
      <c r="N105" s="56" t="s">
        <v>521</v>
      </c>
      <c r="O105" s="79" t="s">
        <v>522</v>
      </c>
      <c r="P105" s="56" t="s">
        <v>49</v>
      </c>
      <c r="Q105" s="56" t="s">
        <v>523</v>
      </c>
      <c r="S105" s="72"/>
    </row>
    <row r="106" ht="31.5" customHeight="1" spans="2:19">
      <c r="B106" s="53" t="s">
        <v>524</v>
      </c>
      <c r="C106" s="59" t="s">
        <v>148</v>
      </c>
      <c r="D106" s="78" t="s">
        <v>46</v>
      </c>
      <c r="E106" s="56" t="s">
        <v>24</v>
      </c>
      <c r="F106" s="56" t="s">
        <v>525</v>
      </c>
      <c r="G106" s="56" t="s">
        <v>67</v>
      </c>
      <c r="H106" s="56" t="s">
        <v>53</v>
      </c>
      <c r="L106" s="53" t="s">
        <v>524</v>
      </c>
      <c r="M106" s="56" t="s">
        <v>526</v>
      </c>
      <c r="N106" s="56" t="s">
        <v>527</v>
      </c>
      <c r="O106" s="79" t="s">
        <v>522</v>
      </c>
      <c r="P106" s="56" t="s">
        <v>49</v>
      </c>
      <c r="Q106" s="56" t="s">
        <v>373</v>
      </c>
      <c r="S106" s="72"/>
    </row>
    <row r="107" ht="31.5" customHeight="1" spans="2:19">
      <c r="B107" s="53" t="s">
        <v>528</v>
      </c>
      <c r="C107" s="59" t="s">
        <v>154</v>
      </c>
      <c r="D107" s="78" t="s">
        <v>46</v>
      </c>
      <c r="E107" s="56" t="s">
        <v>37</v>
      </c>
      <c r="F107" s="73" t="s">
        <v>529</v>
      </c>
      <c r="G107" s="56" t="s">
        <v>67</v>
      </c>
      <c r="H107" s="56" t="s">
        <v>53</v>
      </c>
      <c r="L107" s="53" t="s">
        <v>528</v>
      </c>
      <c r="M107" s="56" t="s">
        <v>530</v>
      </c>
      <c r="N107" s="56" t="s">
        <v>531</v>
      </c>
      <c r="O107" s="79" t="s">
        <v>522</v>
      </c>
      <c r="P107" s="56" t="s">
        <v>49</v>
      </c>
      <c r="Q107" s="56" t="s">
        <v>532</v>
      </c>
      <c r="S107" s="72"/>
    </row>
    <row r="108" ht="31.5" customHeight="1" spans="2:19">
      <c r="B108" s="53" t="s">
        <v>533</v>
      </c>
      <c r="C108" s="59" t="s">
        <v>160</v>
      </c>
      <c r="D108" s="78" t="s">
        <v>46</v>
      </c>
      <c r="E108" s="56" t="s">
        <v>46</v>
      </c>
      <c r="F108" s="73" t="s">
        <v>478</v>
      </c>
      <c r="G108" s="56" t="s">
        <v>67</v>
      </c>
      <c r="H108" s="56" t="s">
        <v>53</v>
      </c>
      <c r="L108" s="53" t="s">
        <v>533</v>
      </c>
      <c r="M108" s="56" t="s">
        <v>534</v>
      </c>
      <c r="N108" s="56" t="s">
        <v>535</v>
      </c>
      <c r="O108" s="79" t="s">
        <v>522</v>
      </c>
      <c r="P108" s="56" t="s">
        <v>49</v>
      </c>
      <c r="Q108" s="56" t="s">
        <v>481</v>
      </c>
      <c r="S108" s="72"/>
    </row>
    <row r="109" ht="31.5" customHeight="1" spans="2:19">
      <c r="B109" s="53" t="s">
        <v>536</v>
      </c>
      <c r="C109" s="59" t="s">
        <v>164</v>
      </c>
      <c r="D109" s="78" t="s">
        <v>46</v>
      </c>
      <c r="E109" s="56" t="s">
        <v>25</v>
      </c>
      <c r="F109" s="56" t="s">
        <v>537</v>
      </c>
      <c r="G109" s="56" t="s">
        <v>67</v>
      </c>
      <c r="H109" s="56" t="s">
        <v>59</v>
      </c>
      <c r="L109" s="53" t="s">
        <v>536</v>
      </c>
      <c r="M109" s="56" t="s">
        <v>538</v>
      </c>
      <c r="N109" s="56" t="s">
        <v>539</v>
      </c>
      <c r="O109" s="79" t="s">
        <v>540</v>
      </c>
      <c r="P109" s="56" t="s">
        <v>49</v>
      </c>
      <c r="Q109" s="56" t="s">
        <v>541</v>
      </c>
      <c r="S109" s="72"/>
    </row>
    <row r="110" ht="31.5" customHeight="1" spans="2:19">
      <c r="B110" s="53" t="s">
        <v>542</v>
      </c>
      <c r="C110" s="59" t="s">
        <v>171</v>
      </c>
      <c r="D110" s="78" t="s">
        <v>46</v>
      </c>
      <c r="E110" s="56" t="s">
        <v>24</v>
      </c>
      <c r="F110" s="56" t="s">
        <v>543</v>
      </c>
      <c r="G110" s="56" t="s">
        <v>67</v>
      </c>
      <c r="H110" s="56" t="s">
        <v>59</v>
      </c>
      <c r="L110" s="53" t="s">
        <v>542</v>
      </c>
      <c r="M110" s="56" t="s">
        <v>544</v>
      </c>
      <c r="N110" s="56" t="s">
        <v>545</v>
      </c>
      <c r="O110" s="79" t="s">
        <v>540</v>
      </c>
      <c r="P110" s="56" t="s">
        <v>49</v>
      </c>
      <c r="Q110" s="56" t="s">
        <v>546</v>
      </c>
      <c r="S110" s="72"/>
    </row>
    <row r="111" ht="31.5" customHeight="1" spans="2:19">
      <c r="B111" s="53" t="s">
        <v>547</v>
      </c>
      <c r="C111" s="59" t="s">
        <v>177</v>
      </c>
      <c r="D111" s="78" t="s">
        <v>46</v>
      </c>
      <c r="E111" s="56" t="s">
        <v>37</v>
      </c>
      <c r="F111" s="73" t="s">
        <v>548</v>
      </c>
      <c r="G111" s="56" t="s">
        <v>67</v>
      </c>
      <c r="H111" s="56" t="s">
        <v>59</v>
      </c>
      <c r="L111" s="53" t="s">
        <v>547</v>
      </c>
      <c r="M111" s="56" t="s">
        <v>549</v>
      </c>
      <c r="N111" s="56" t="s">
        <v>550</v>
      </c>
      <c r="O111" s="79" t="s">
        <v>540</v>
      </c>
      <c r="P111" s="56" t="s">
        <v>49</v>
      </c>
      <c r="Q111" s="56" t="s">
        <v>551</v>
      </c>
      <c r="S111" s="72"/>
    </row>
    <row r="112" ht="31.5" customHeight="1" spans="2:19">
      <c r="B112" s="53" t="s">
        <v>552</v>
      </c>
      <c r="C112" s="59" t="s">
        <v>183</v>
      </c>
      <c r="D112" s="78" t="s">
        <v>46</v>
      </c>
      <c r="E112" s="56" t="s">
        <v>46</v>
      </c>
      <c r="F112" s="73" t="s">
        <v>478</v>
      </c>
      <c r="G112" s="56" t="s">
        <v>67</v>
      </c>
      <c r="H112" s="56" t="s">
        <v>59</v>
      </c>
      <c r="L112" s="53" t="s">
        <v>552</v>
      </c>
      <c r="M112" s="56" t="s">
        <v>553</v>
      </c>
      <c r="N112" s="56" t="s">
        <v>554</v>
      </c>
      <c r="O112" s="79" t="s">
        <v>540</v>
      </c>
      <c r="P112" s="56" t="s">
        <v>49</v>
      </c>
      <c r="Q112" s="56" t="s">
        <v>481</v>
      </c>
      <c r="S112" s="72"/>
    </row>
    <row r="113" ht="31.5" customHeight="1" spans="2:19">
      <c r="B113" s="53" t="s">
        <v>555</v>
      </c>
      <c r="C113" s="59" t="s">
        <v>187</v>
      </c>
      <c r="D113" s="78" t="s">
        <v>46</v>
      </c>
      <c r="E113" s="56" t="s">
        <v>25</v>
      </c>
      <c r="F113" s="56" t="s">
        <v>556</v>
      </c>
      <c r="G113" s="56" t="s">
        <v>67</v>
      </c>
      <c r="H113" s="56" t="s">
        <v>189</v>
      </c>
      <c r="L113" s="53" t="s">
        <v>555</v>
      </c>
      <c r="M113" s="56" t="s">
        <v>557</v>
      </c>
      <c r="N113" s="56" t="s">
        <v>558</v>
      </c>
      <c r="O113" s="79" t="s">
        <v>559</v>
      </c>
      <c r="P113" s="56" t="s">
        <v>49</v>
      </c>
      <c r="Q113" s="56" t="s">
        <v>523</v>
      </c>
      <c r="S113" s="72"/>
    </row>
    <row r="114" ht="31.5" customHeight="1" spans="2:19">
      <c r="B114" s="53" t="s">
        <v>560</v>
      </c>
      <c r="C114" s="74" t="s">
        <v>194</v>
      </c>
      <c r="D114" s="78" t="s">
        <v>46</v>
      </c>
      <c r="E114" s="56" t="s">
        <v>24</v>
      </c>
      <c r="F114" s="56" t="s">
        <v>561</v>
      </c>
      <c r="G114" s="56" t="s">
        <v>67</v>
      </c>
      <c r="H114" s="56" t="s">
        <v>189</v>
      </c>
      <c r="L114" s="53" t="s">
        <v>560</v>
      </c>
      <c r="M114" s="56" t="s">
        <v>562</v>
      </c>
      <c r="N114" s="56" t="s">
        <v>563</v>
      </c>
      <c r="O114" s="79" t="s">
        <v>559</v>
      </c>
      <c r="P114" s="56" t="s">
        <v>49</v>
      </c>
      <c r="Q114" s="56" t="s">
        <v>373</v>
      </c>
      <c r="S114" s="72"/>
    </row>
    <row r="115" ht="31.5" customHeight="1" spans="2:19">
      <c r="B115" s="53" t="s">
        <v>564</v>
      </c>
      <c r="C115" s="74" t="s">
        <v>199</v>
      </c>
      <c r="D115" s="78" t="s">
        <v>46</v>
      </c>
      <c r="E115" s="56" t="s">
        <v>37</v>
      </c>
      <c r="F115" s="73" t="s">
        <v>565</v>
      </c>
      <c r="G115" s="56" t="s">
        <v>67</v>
      </c>
      <c r="H115" s="56" t="s">
        <v>189</v>
      </c>
      <c r="L115" s="53" t="s">
        <v>564</v>
      </c>
      <c r="M115" s="56" t="s">
        <v>566</v>
      </c>
      <c r="N115" s="56" t="s">
        <v>567</v>
      </c>
      <c r="O115" s="79" t="s">
        <v>559</v>
      </c>
      <c r="P115" s="56" t="s">
        <v>49</v>
      </c>
      <c r="Q115" s="56" t="s">
        <v>568</v>
      </c>
      <c r="S115" s="72"/>
    </row>
    <row r="116" ht="31.5" customHeight="1" spans="2:19">
      <c r="B116" s="53" t="s">
        <v>569</v>
      </c>
      <c r="C116" s="59" t="s">
        <v>204</v>
      </c>
      <c r="D116" s="78" t="s">
        <v>46</v>
      </c>
      <c r="E116" s="56" t="s">
        <v>46</v>
      </c>
      <c r="F116" s="73" t="s">
        <v>478</v>
      </c>
      <c r="G116" s="56" t="s">
        <v>67</v>
      </c>
      <c r="H116" s="56" t="s">
        <v>189</v>
      </c>
      <c r="L116" s="53" t="s">
        <v>569</v>
      </c>
      <c r="M116" s="56" t="s">
        <v>570</v>
      </c>
      <c r="N116" s="56" t="s">
        <v>571</v>
      </c>
      <c r="O116" s="79" t="s">
        <v>559</v>
      </c>
      <c r="P116" s="56" t="s">
        <v>49</v>
      </c>
      <c r="Q116" s="56" t="s">
        <v>481</v>
      </c>
      <c r="S116" s="72"/>
    </row>
    <row r="117" ht="31.5" customHeight="1" spans="2:19">
      <c r="B117" s="53" t="s">
        <v>572</v>
      </c>
      <c r="C117" s="59" t="s">
        <v>208</v>
      </c>
      <c r="D117" s="78" t="s">
        <v>46</v>
      </c>
      <c r="E117" s="56" t="s">
        <v>25</v>
      </c>
      <c r="F117" s="56" t="s">
        <v>573</v>
      </c>
      <c r="G117" s="56" t="s">
        <v>67</v>
      </c>
      <c r="H117" s="56" t="s">
        <v>210</v>
      </c>
      <c r="L117" s="53" t="s">
        <v>572</v>
      </c>
      <c r="M117" s="56" t="s">
        <v>574</v>
      </c>
      <c r="N117" s="56" t="s">
        <v>575</v>
      </c>
      <c r="O117" s="79" t="s">
        <v>576</v>
      </c>
      <c r="P117" s="56" t="s">
        <v>49</v>
      </c>
      <c r="Q117" s="56" t="s">
        <v>577</v>
      </c>
      <c r="S117" s="72"/>
    </row>
    <row r="118" ht="31.5" customHeight="1" spans="2:19">
      <c r="B118" s="53" t="s">
        <v>578</v>
      </c>
      <c r="C118" s="59" t="s">
        <v>216</v>
      </c>
      <c r="D118" s="78" t="s">
        <v>46</v>
      </c>
      <c r="E118" s="56" t="s">
        <v>24</v>
      </c>
      <c r="F118" s="56" t="s">
        <v>561</v>
      </c>
      <c r="G118" s="56" t="s">
        <v>67</v>
      </c>
      <c r="H118" s="56" t="s">
        <v>210</v>
      </c>
      <c r="L118" s="53" t="s">
        <v>578</v>
      </c>
      <c r="M118" s="56" t="s">
        <v>579</v>
      </c>
      <c r="N118" s="56" t="s">
        <v>580</v>
      </c>
      <c r="O118" s="79" t="s">
        <v>576</v>
      </c>
      <c r="P118" s="56" t="s">
        <v>49</v>
      </c>
      <c r="Q118" s="56" t="s">
        <v>373</v>
      </c>
      <c r="S118" s="72"/>
    </row>
    <row r="119" ht="31.5" customHeight="1" spans="2:19">
      <c r="B119" s="53" t="s">
        <v>581</v>
      </c>
      <c r="C119" s="74" t="s">
        <v>220</v>
      </c>
      <c r="D119" s="78" t="s">
        <v>46</v>
      </c>
      <c r="E119" s="56" t="s">
        <v>37</v>
      </c>
      <c r="F119" s="73" t="s">
        <v>582</v>
      </c>
      <c r="G119" s="56" t="s">
        <v>67</v>
      </c>
      <c r="H119" s="56" t="s">
        <v>210</v>
      </c>
      <c r="L119" s="53" t="s">
        <v>581</v>
      </c>
      <c r="M119" s="56" t="s">
        <v>583</v>
      </c>
      <c r="N119" s="56" t="s">
        <v>584</v>
      </c>
      <c r="O119" s="79" t="s">
        <v>576</v>
      </c>
      <c r="P119" s="56" t="s">
        <v>49</v>
      </c>
      <c r="Q119" s="56" t="s">
        <v>585</v>
      </c>
      <c r="S119" s="72"/>
    </row>
    <row r="120" ht="31.5" customHeight="1" spans="2:19">
      <c r="B120" s="53" t="s">
        <v>586</v>
      </c>
      <c r="C120" s="59" t="s">
        <v>226</v>
      </c>
      <c r="D120" s="78" t="s">
        <v>46</v>
      </c>
      <c r="E120" s="56" t="s">
        <v>46</v>
      </c>
      <c r="F120" s="73" t="s">
        <v>478</v>
      </c>
      <c r="G120" s="56" t="s">
        <v>67</v>
      </c>
      <c r="H120" s="56" t="s">
        <v>210</v>
      </c>
      <c r="L120" s="53" t="s">
        <v>586</v>
      </c>
      <c r="M120" s="56" t="s">
        <v>587</v>
      </c>
      <c r="N120" s="56" t="s">
        <v>588</v>
      </c>
      <c r="O120" s="79" t="s">
        <v>576</v>
      </c>
      <c r="P120" s="56" t="s">
        <v>49</v>
      </c>
      <c r="Q120" s="56" t="s">
        <v>481</v>
      </c>
      <c r="S120" s="72"/>
    </row>
    <row r="121" ht="31.5" customHeight="1" spans="2:19">
      <c r="B121" s="53" t="s">
        <v>589</v>
      </c>
      <c r="C121" s="59" t="s">
        <v>230</v>
      </c>
      <c r="D121" s="78" t="s">
        <v>46</v>
      </c>
      <c r="E121" s="56" t="s">
        <v>25</v>
      </c>
      <c r="F121" s="56" t="s">
        <v>590</v>
      </c>
      <c r="G121" s="56" t="s">
        <v>67</v>
      </c>
      <c r="H121" s="56" t="s">
        <v>232</v>
      </c>
      <c r="L121" s="53" t="s">
        <v>589</v>
      </c>
      <c r="M121" s="56" t="s">
        <v>591</v>
      </c>
      <c r="N121" s="56" t="s">
        <v>592</v>
      </c>
      <c r="O121" s="79" t="s">
        <v>593</v>
      </c>
      <c r="P121" s="56" t="s">
        <v>49</v>
      </c>
      <c r="Q121" s="56" t="s">
        <v>546</v>
      </c>
      <c r="S121" s="72"/>
    </row>
    <row r="122" ht="31.5" customHeight="1" spans="2:19">
      <c r="B122" s="53" t="s">
        <v>594</v>
      </c>
      <c r="C122" s="59" t="s">
        <v>237</v>
      </c>
      <c r="D122" s="78" t="s">
        <v>46</v>
      </c>
      <c r="E122" s="56" t="s">
        <v>24</v>
      </c>
      <c r="F122" s="56" t="s">
        <v>595</v>
      </c>
      <c r="G122" s="56" t="s">
        <v>67</v>
      </c>
      <c r="H122" s="56" t="s">
        <v>232</v>
      </c>
      <c r="L122" s="53" t="s">
        <v>594</v>
      </c>
      <c r="M122" s="56" t="s">
        <v>596</v>
      </c>
      <c r="N122" s="56" t="s">
        <v>597</v>
      </c>
      <c r="O122" s="79" t="s">
        <v>593</v>
      </c>
      <c r="P122" s="56" t="s">
        <v>49</v>
      </c>
      <c r="Q122" s="56" t="s">
        <v>598</v>
      </c>
      <c r="S122" s="72"/>
    </row>
    <row r="123" ht="31.5" customHeight="1" spans="2:19">
      <c r="B123" s="53" t="s">
        <v>599</v>
      </c>
      <c r="C123" s="59" t="s">
        <v>243</v>
      </c>
      <c r="D123" s="78" t="s">
        <v>46</v>
      </c>
      <c r="E123" s="56" t="s">
        <v>37</v>
      </c>
      <c r="F123" s="73" t="s">
        <v>600</v>
      </c>
      <c r="G123" s="56" t="s">
        <v>67</v>
      </c>
      <c r="H123" s="56" t="s">
        <v>232</v>
      </c>
      <c r="L123" s="53" t="s">
        <v>599</v>
      </c>
      <c r="M123" s="56" t="s">
        <v>601</v>
      </c>
      <c r="N123" s="56" t="s">
        <v>602</v>
      </c>
      <c r="O123" s="79" t="s">
        <v>593</v>
      </c>
      <c r="P123" s="56" t="s">
        <v>49</v>
      </c>
      <c r="Q123" s="56" t="s">
        <v>603</v>
      </c>
      <c r="S123" s="72"/>
    </row>
    <row r="124" ht="31.5" customHeight="1" spans="2:19">
      <c r="B124" s="53" t="s">
        <v>604</v>
      </c>
      <c r="C124" s="59" t="s">
        <v>249</v>
      </c>
      <c r="D124" s="78" t="s">
        <v>46</v>
      </c>
      <c r="E124" s="56" t="s">
        <v>46</v>
      </c>
      <c r="F124" s="73" t="s">
        <v>478</v>
      </c>
      <c r="G124" s="56" t="s">
        <v>67</v>
      </c>
      <c r="H124" s="56" t="s">
        <v>232</v>
      </c>
      <c r="L124" s="53" t="s">
        <v>604</v>
      </c>
      <c r="M124" s="56" t="s">
        <v>605</v>
      </c>
      <c r="N124" s="56" t="s">
        <v>606</v>
      </c>
      <c r="O124" s="79" t="s">
        <v>593</v>
      </c>
      <c r="P124" s="56" t="s">
        <v>49</v>
      </c>
      <c r="Q124" s="56" t="s">
        <v>481</v>
      </c>
      <c r="S124" s="72"/>
    </row>
    <row r="125" ht="31.5" customHeight="1" spans="2:19">
      <c r="B125" s="53" t="s">
        <v>607</v>
      </c>
      <c r="C125" s="59" t="s">
        <v>253</v>
      </c>
      <c r="D125" s="78" t="s">
        <v>46</v>
      </c>
      <c r="E125" s="56" t="s">
        <v>25</v>
      </c>
      <c r="F125" s="56" t="s">
        <v>556</v>
      </c>
      <c r="G125" s="56" t="s">
        <v>67</v>
      </c>
      <c r="H125" s="56" t="s">
        <v>254</v>
      </c>
      <c r="L125" s="53" t="s">
        <v>607</v>
      </c>
      <c r="M125" s="56" t="s">
        <v>608</v>
      </c>
      <c r="N125" s="56" t="s">
        <v>609</v>
      </c>
      <c r="O125" s="79" t="s">
        <v>610</v>
      </c>
      <c r="P125" s="56" t="s">
        <v>49</v>
      </c>
      <c r="Q125" s="56" t="s">
        <v>523</v>
      </c>
      <c r="S125" s="72"/>
    </row>
    <row r="126" ht="31.5" customHeight="1" spans="2:19">
      <c r="B126" s="53" t="s">
        <v>611</v>
      </c>
      <c r="C126" s="59" t="s">
        <v>259</v>
      </c>
      <c r="D126" s="78" t="s">
        <v>46</v>
      </c>
      <c r="E126" s="56" t="s">
        <v>24</v>
      </c>
      <c r="F126" s="56" t="s">
        <v>612</v>
      </c>
      <c r="G126" s="56" t="s">
        <v>67</v>
      </c>
      <c r="H126" s="56" t="s">
        <v>254</v>
      </c>
      <c r="L126" s="53" t="s">
        <v>611</v>
      </c>
      <c r="M126" s="56" t="s">
        <v>613</v>
      </c>
      <c r="N126" s="56" t="s">
        <v>614</v>
      </c>
      <c r="O126" s="79" t="s">
        <v>610</v>
      </c>
      <c r="P126" s="56" t="s">
        <v>49</v>
      </c>
      <c r="Q126" s="56" t="s">
        <v>126</v>
      </c>
      <c r="S126" s="72"/>
    </row>
    <row r="127" ht="31.5" customHeight="1" spans="2:19">
      <c r="B127" s="53" t="s">
        <v>615</v>
      </c>
      <c r="C127" s="59" t="s">
        <v>265</v>
      </c>
      <c r="D127" s="78" t="s">
        <v>46</v>
      </c>
      <c r="E127" s="56" t="s">
        <v>37</v>
      </c>
      <c r="F127" s="73" t="s">
        <v>616</v>
      </c>
      <c r="G127" s="56" t="s">
        <v>67</v>
      </c>
      <c r="H127" s="56" t="s">
        <v>254</v>
      </c>
      <c r="L127" s="53" t="s">
        <v>615</v>
      </c>
      <c r="M127" s="56" t="s">
        <v>617</v>
      </c>
      <c r="N127" s="56" t="s">
        <v>618</v>
      </c>
      <c r="O127" s="79" t="s">
        <v>610</v>
      </c>
      <c r="P127" s="56" t="s">
        <v>49</v>
      </c>
      <c r="Q127" s="56" t="s">
        <v>619</v>
      </c>
      <c r="S127" s="72"/>
    </row>
    <row r="128" ht="31.5" customHeight="1" spans="2:19">
      <c r="B128" s="53" t="s">
        <v>620</v>
      </c>
      <c r="C128" s="59" t="s">
        <v>271</v>
      </c>
      <c r="D128" s="78" t="s">
        <v>46</v>
      </c>
      <c r="E128" s="56" t="s">
        <v>46</v>
      </c>
      <c r="F128" s="73" t="s">
        <v>478</v>
      </c>
      <c r="G128" s="56" t="s">
        <v>67</v>
      </c>
      <c r="H128" s="56" t="s">
        <v>254</v>
      </c>
      <c r="L128" s="53" t="s">
        <v>620</v>
      </c>
      <c r="M128" s="56" t="s">
        <v>621</v>
      </c>
      <c r="N128" s="56" t="s">
        <v>622</v>
      </c>
      <c r="O128" s="79" t="s">
        <v>610</v>
      </c>
      <c r="P128" s="56" t="s">
        <v>49</v>
      </c>
      <c r="Q128" s="56" t="s">
        <v>481</v>
      </c>
      <c r="S128" s="72"/>
    </row>
    <row r="129" ht="31.5" customHeight="1" spans="2:19">
      <c r="B129" s="53" t="s">
        <v>623</v>
      </c>
      <c r="C129" s="59" t="s">
        <v>275</v>
      </c>
      <c r="D129" s="78" t="s">
        <v>46</v>
      </c>
      <c r="E129" s="56" t="s">
        <v>25</v>
      </c>
      <c r="F129" s="56" t="s">
        <v>624</v>
      </c>
      <c r="G129" s="56" t="s">
        <v>67</v>
      </c>
      <c r="H129" s="56" t="s">
        <v>276</v>
      </c>
      <c r="L129" s="53" t="s">
        <v>623</v>
      </c>
      <c r="M129" s="56" t="s">
        <v>625</v>
      </c>
      <c r="N129" s="56" t="s">
        <v>626</v>
      </c>
      <c r="O129" s="79" t="s">
        <v>627</v>
      </c>
      <c r="P129" s="56" t="s">
        <v>49</v>
      </c>
      <c r="Q129" s="56" t="s">
        <v>506</v>
      </c>
      <c r="S129" s="72"/>
    </row>
    <row r="130" ht="31.5" customHeight="1" spans="2:19">
      <c r="B130" s="53" t="s">
        <v>628</v>
      </c>
      <c r="C130" s="59" t="s">
        <v>281</v>
      </c>
      <c r="D130" s="78" t="s">
        <v>46</v>
      </c>
      <c r="E130" s="56" t="s">
        <v>24</v>
      </c>
      <c r="F130" s="56" t="s">
        <v>561</v>
      </c>
      <c r="G130" s="56" t="s">
        <v>67</v>
      </c>
      <c r="H130" s="56" t="s">
        <v>276</v>
      </c>
      <c r="L130" s="53" t="s">
        <v>628</v>
      </c>
      <c r="M130" s="56" t="s">
        <v>629</v>
      </c>
      <c r="N130" s="56" t="s">
        <v>630</v>
      </c>
      <c r="O130" s="79" t="s">
        <v>627</v>
      </c>
      <c r="P130" s="56" t="s">
        <v>49</v>
      </c>
      <c r="Q130" s="56" t="s">
        <v>373</v>
      </c>
      <c r="S130" s="72"/>
    </row>
    <row r="131" ht="51" customHeight="1" spans="2:19">
      <c r="B131" s="53" t="s">
        <v>631</v>
      </c>
      <c r="C131" s="59" t="s">
        <v>285</v>
      </c>
      <c r="D131" s="78" t="s">
        <v>46</v>
      </c>
      <c r="E131" s="56" t="s">
        <v>37</v>
      </c>
      <c r="F131" s="73" t="s">
        <v>565</v>
      </c>
      <c r="G131" s="56" t="s">
        <v>67</v>
      </c>
      <c r="H131" s="56" t="s">
        <v>276</v>
      </c>
      <c r="L131" s="53" t="s">
        <v>631</v>
      </c>
      <c r="M131" s="56" t="s">
        <v>632</v>
      </c>
      <c r="N131" s="56" t="s">
        <v>633</v>
      </c>
      <c r="O131" s="79" t="s">
        <v>627</v>
      </c>
      <c r="P131" s="56" t="s">
        <v>49</v>
      </c>
      <c r="Q131" s="56" t="s">
        <v>568</v>
      </c>
      <c r="S131" s="72"/>
    </row>
    <row r="132" ht="51.75" customHeight="1" spans="2:19">
      <c r="B132" s="53" t="s">
        <v>634</v>
      </c>
      <c r="C132" s="59" t="s">
        <v>289</v>
      </c>
      <c r="D132" s="78" t="s">
        <v>46</v>
      </c>
      <c r="E132" s="56" t="s">
        <v>46</v>
      </c>
      <c r="F132" s="73" t="s">
        <v>478</v>
      </c>
      <c r="G132" s="56" t="s">
        <v>67</v>
      </c>
      <c r="H132" s="56" t="s">
        <v>276</v>
      </c>
      <c r="L132" s="53" t="s">
        <v>634</v>
      </c>
      <c r="M132" s="56" t="s">
        <v>635</v>
      </c>
      <c r="N132" s="56" t="s">
        <v>636</v>
      </c>
      <c r="O132" s="79" t="s">
        <v>627</v>
      </c>
      <c r="P132" s="56" t="s">
        <v>49</v>
      </c>
      <c r="Q132" s="56" t="s">
        <v>481</v>
      </c>
      <c r="S132" s="72"/>
    </row>
    <row r="133" ht="36" customHeight="1" spans="2:19">
      <c r="B133" s="54" t="s">
        <v>637</v>
      </c>
      <c r="C133" s="59" t="s">
        <v>75</v>
      </c>
      <c r="D133" s="80" t="s">
        <v>53</v>
      </c>
      <c r="E133" s="54" t="s">
        <v>25</v>
      </c>
      <c r="F133" s="56" t="s">
        <v>54</v>
      </c>
      <c r="G133" s="56" t="s">
        <v>67</v>
      </c>
      <c r="H133" s="56" t="s">
        <v>24</v>
      </c>
      <c r="L133" s="54" t="s">
        <v>637</v>
      </c>
      <c r="M133" s="56" t="s">
        <v>638</v>
      </c>
      <c r="N133" s="56" t="s">
        <v>639</v>
      </c>
      <c r="O133" s="81" t="s">
        <v>640</v>
      </c>
      <c r="P133" s="56" t="s">
        <v>56</v>
      </c>
      <c r="Q133" s="56" t="s">
        <v>57</v>
      </c>
      <c r="S133" s="72"/>
    </row>
    <row r="134" ht="39.75" customHeight="1" spans="2:19">
      <c r="B134" s="54" t="s">
        <v>641</v>
      </c>
      <c r="C134" s="59" t="s">
        <v>80</v>
      </c>
      <c r="D134" s="80" t="s">
        <v>53</v>
      </c>
      <c r="E134" s="54" t="s">
        <v>24</v>
      </c>
      <c r="F134" s="56" t="s">
        <v>642</v>
      </c>
      <c r="G134" s="56" t="s">
        <v>67</v>
      </c>
      <c r="H134" s="56" t="s">
        <v>24</v>
      </c>
      <c r="L134" s="54" t="s">
        <v>641</v>
      </c>
      <c r="M134" s="56" t="s">
        <v>643</v>
      </c>
      <c r="N134" s="56" t="s">
        <v>644</v>
      </c>
      <c r="O134" s="81" t="s">
        <v>640</v>
      </c>
      <c r="P134" s="56" t="s">
        <v>56</v>
      </c>
      <c r="Q134" s="56" t="s">
        <v>598</v>
      </c>
      <c r="S134" s="72"/>
    </row>
    <row r="135" ht="39.75" customHeight="1" spans="2:19">
      <c r="B135" s="54" t="s">
        <v>645</v>
      </c>
      <c r="C135" s="59" t="s">
        <v>86</v>
      </c>
      <c r="D135" s="80" t="s">
        <v>53</v>
      </c>
      <c r="E135" s="54" t="s">
        <v>37</v>
      </c>
      <c r="F135" s="73" t="s">
        <v>646</v>
      </c>
      <c r="G135" s="56" t="s">
        <v>67</v>
      </c>
      <c r="H135" s="56" t="s">
        <v>24</v>
      </c>
      <c r="L135" s="54" t="s">
        <v>645</v>
      </c>
      <c r="M135" s="56" t="s">
        <v>647</v>
      </c>
      <c r="N135" s="56" t="s">
        <v>648</v>
      </c>
      <c r="O135" s="81" t="s">
        <v>640</v>
      </c>
      <c r="P135" s="56" t="s">
        <v>56</v>
      </c>
      <c r="Q135" s="56" t="s">
        <v>649</v>
      </c>
      <c r="S135" s="72"/>
    </row>
    <row r="136" ht="39.75" customHeight="1" spans="2:19">
      <c r="B136" s="54" t="s">
        <v>650</v>
      </c>
      <c r="C136" s="59" t="s">
        <v>92</v>
      </c>
      <c r="D136" s="80" t="s">
        <v>53</v>
      </c>
      <c r="E136" s="54" t="s">
        <v>46</v>
      </c>
      <c r="F136" s="73" t="s">
        <v>651</v>
      </c>
      <c r="G136" s="56" t="s">
        <v>67</v>
      </c>
      <c r="H136" s="56" t="s">
        <v>24</v>
      </c>
      <c r="L136" s="54" t="s">
        <v>650</v>
      </c>
      <c r="M136" s="56" t="s">
        <v>652</v>
      </c>
      <c r="N136" s="56" t="s">
        <v>653</v>
      </c>
      <c r="O136" s="81" t="s">
        <v>640</v>
      </c>
      <c r="P136" s="56" t="s">
        <v>56</v>
      </c>
      <c r="Q136" s="56" t="s">
        <v>654</v>
      </c>
      <c r="S136" s="72"/>
    </row>
    <row r="137" ht="39.75" customHeight="1" spans="2:19">
      <c r="B137" s="54" t="s">
        <v>655</v>
      </c>
      <c r="C137" s="59" t="s">
        <v>98</v>
      </c>
      <c r="D137" s="80" t="s">
        <v>53</v>
      </c>
      <c r="E137" s="54" t="s">
        <v>25</v>
      </c>
      <c r="F137" s="56" t="s">
        <v>656</v>
      </c>
      <c r="G137" s="56" t="s">
        <v>67</v>
      </c>
      <c r="H137" s="56" t="s">
        <v>37</v>
      </c>
      <c r="L137" s="54" t="s">
        <v>655</v>
      </c>
      <c r="M137" s="56" t="s">
        <v>657</v>
      </c>
      <c r="N137" s="56" t="s">
        <v>658</v>
      </c>
      <c r="O137" s="81" t="s">
        <v>659</v>
      </c>
      <c r="P137" s="56" t="s">
        <v>56</v>
      </c>
      <c r="Q137" s="56" t="s">
        <v>660</v>
      </c>
      <c r="S137" s="72"/>
    </row>
    <row r="138" ht="39.75" customHeight="1" spans="2:19">
      <c r="B138" s="54" t="s">
        <v>661</v>
      </c>
      <c r="C138" s="59" t="s">
        <v>105</v>
      </c>
      <c r="D138" s="80" t="s">
        <v>53</v>
      </c>
      <c r="E138" s="54" t="s">
        <v>24</v>
      </c>
      <c r="F138" s="56" t="s">
        <v>662</v>
      </c>
      <c r="G138" s="56" t="s">
        <v>67</v>
      </c>
      <c r="H138" s="56" t="s">
        <v>37</v>
      </c>
      <c r="L138" s="54" t="s">
        <v>661</v>
      </c>
      <c r="M138" s="56" t="s">
        <v>663</v>
      </c>
      <c r="N138" s="56" t="s">
        <v>664</v>
      </c>
      <c r="O138" s="81" t="s">
        <v>659</v>
      </c>
      <c r="P138" s="56" t="s">
        <v>56</v>
      </c>
      <c r="Q138" s="56" t="s">
        <v>373</v>
      </c>
      <c r="S138" s="72"/>
    </row>
    <row r="139" ht="39.75" customHeight="1" spans="2:19">
      <c r="B139" s="54" t="s">
        <v>665</v>
      </c>
      <c r="C139" s="59" t="s">
        <v>111</v>
      </c>
      <c r="D139" s="80" t="s">
        <v>53</v>
      </c>
      <c r="E139" s="54" t="s">
        <v>37</v>
      </c>
      <c r="F139" s="73" t="s">
        <v>666</v>
      </c>
      <c r="G139" s="56" t="s">
        <v>67</v>
      </c>
      <c r="H139" s="56" t="s">
        <v>37</v>
      </c>
      <c r="L139" s="54" t="s">
        <v>665</v>
      </c>
      <c r="M139" s="56" t="s">
        <v>667</v>
      </c>
      <c r="N139" s="56" t="s">
        <v>668</v>
      </c>
      <c r="O139" s="81" t="s">
        <v>659</v>
      </c>
      <c r="P139" s="56" t="s">
        <v>56</v>
      </c>
      <c r="Q139" s="56" t="s">
        <v>669</v>
      </c>
      <c r="S139" s="72"/>
    </row>
    <row r="140" ht="39.75" customHeight="1" spans="2:19">
      <c r="B140" s="54" t="s">
        <v>670</v>
      </c>
      <c r="C140" s="59" t="s">
        <v>117</v>
      </c>
      <c r="D140" s="80" t="s">
        <v>53</v>
      </c>
      <c r="E140" s="54" t="s">
        <v>46</v>
      </c>
      <c r="F140" s="73" t="s">
        <v>651</v>
      </c>
      <c r="G140" s="56" t="s">
        <v>67</v>
      </c>
      <c r="H140" s="56" t="s">
        <v>37</v>
      </c>
      <c r="L140" s="54" t="s">
        <v>670</v>
      </c>
      <c r="M140" s="56" t="s">
        <v>671</v>
      </c>
      <c r="N140" s="56" t="s">
        <v>672</v>
      </c>
      <c r="O140" s="81" t="s">
        <v>659</v>
      </c>
      <c r="P140" s="56" t="s">
        <v>56</v>
      </c>
      <c r="Q140" s="56" t="s">
        <v>654</v>
      </c>
      <c r="S140" s="72"/>
    </row>
    <row r="141" ht="39.75" customHeight="1" spans="2:19">
      <c r="B141" s="54" t="s">
        <v>673</v>
      </c>
      <c r="C141" s="59" t="s">
        <v>121</v>
      </c>
      <c r="D141" s="80" t="s">
        <v>53</v>
      </c>
      <c r="E141" s="54" t="s">
        <v>25</v>
      </c>
      <c r="F141" s="56" t="s">
        <v>674</v>
      </c>
      <c r="G141" s="56" t="s">
        <v>67</v>
      </c>
      <c r="H141" s="56" t="s">
        <v>46</v>
      </c>
      <c r="K141" s="73"/>
      <c r="L141" s="54" t="s">
        <v>673</v>
      </c>
      <c r="M141" s="56" t="s">
        <v>675</v>
      </c>
      <c r="N141" s="56" t="s">
        <v>676</v>
      </c>
      <c r="O141" s="81" t="s">
        <v>677</v>
      </c>
      <c r="P141" s="56" t="s">
        <v>56</v>
      </c>
      <c r="Q141" s="56" t="s">
        <v>678</v>
      </c>
      <c r="S141" s="72"/>
    </row>
    <row r="142" ht="39.75" customHeight="1" spans="2:19">
      <c r="B142" s="54" t="s">
        <v>679</v>
      </c>
      <c r="C142" s="59" t="s">
        <v>128</v>
      </c>
      <c r="D142" s="80" t="s">
        <v>53</v>
      </c>
      <c r="E142" s="54" t="s">
        <v>24</v>
      </c>
      <c r="F142" s="56" t="s">
        <v>662</v>
      </c>
      <c r="G142" s="56" t="s">
        <v>67</v>
      </c>
      <c r="H142" s="56" t="s">
        <v>46</v>
      </c>
      <c r="K142" s="73"/>
      <c r="L142" s="54" t="s">
        <v>679</v>
      </c>
      <c r="M142" s="56" t="s">
        <v>680</v>
      </c>
      <c r="N142" s="56" t="s">
        <v>681</v>
      </c>
      <c r="O142" s="81" t="s">
        <v>677</v>
      </c>
      <c r="P142" s="56" t="s">
        <v>56</v>
      </c>
      <c r="Q142" s="56" t="s">
        <v>373</v>
      </c>
      <c r="S142" s="72"/>
    </row>
    <row r="143" ht="39.75" customHeight="1" spans="2:19">
      <c r="B143" s="54" t="s">
        <v>682</v>
      </c>
      <c r="C143" s="59" t="s">
        <v>132</v>
      </c>
      <c r="D143" s="80" t="s">
        <v>53</v>
      </c>
      <c r="E143" s="54" t="s">
        <v>37</v>
      </c>
      <c r="F143" s="73" t="s">
        <v>683</v>
      </c>
      <c r="G143" s="56" t="s">
        <v>67</v>
      </c>
      <c r="H143" s="56" t="s">
        <v>46</v>
      </c>
      <c r="K143" s="73"/>
      <c r="L143" s="54" t="s">
        <v>682</v>
      </c>
      <c r="M143" s="56" t="s">
        <v>684</v>
      </c>
      <c r="N143" s="56" t="s">
        <v>685</v>
      </c>
      <c r="O143" s="81" t="s">
        <v>677</v>
      </c>
      <c r="P143" s="56" t="s">
        <v>56</v>
      </c>
      <c r="Q143" s="56" t="s">
        <v>686</v>
      </c>
      <c r="S143" s="72"/>
    </row>
    <row r="144" ht="39.75" customHeight="1" spans="2:19">
      <c r="B144" s="54" t="s">
        <v>687</v>
      </c>
      <c r="C144" s="59" t="s">
        <v>138</v>
      </c>
      <c r="D144" s="80" t="s">
        <v>53</v>
      </c>
      <c r="E144" s="54" t="s">
        <v>46</v>
      </c>
      <c r="F144" s="73" t="s">
        <v>651</v>
      </c>
      <c r="G144" s="56" t="s">
        <v>67</v>
      </c>
      <c r="H144" s="56" t="s">
        <v>46</v>
      </c>
      <c r="K144" s="73"/>
      <c r="L144" s="54" t="s">
        <v>687</v>
      </c>
      <c r="M144" s="56" t="s">
        <v>688</v>
      </c>
      <c r="N144" s="56" t="s">
        <v>689</v>
      </c>
      <c r="O144" s="81" t="s">
        <v>677</v>
      </c>
      <c r="P144" s="56" t="s">
        <v>56</v>
      </c>
      <c r="Q144" s="56" t="s">
        <v>654</v>
      </c>
      <c r="S144" s="72"/>
    </row>
    <row r="145" ht="39.75" customHeight="1" spans="2:19">
      <c r="B145" s="54" t="s">
        <v>690</v>
      </c>
      <c r="C145" s="59" t="s">
        <v>142</v>
      </c>
      <c r="D145" s="80" t="s">
        <v>53</v>
      </c>
      <c r="E145" s="54" t="s">
        <v>25</v>
      </c>
      <c r="F145" s="56" t="s">
        <v>691</v>
      </c>
      <c r="G145" s="56" t="s">
        <v>67</v>
      </c>
      <c r="H145" s="56" t="s">
        <v>53</v>
      </c>
      <c r="K145" s="73"/>
      <c r="L145" s="54" t="s">
        <v>690</v>
      </c>
      <c r="M145" s="56" t="s">
        <v>692</v>
      </c>
      <c r="N145" s="56" t="s">
        <v>693</v>
      </c>
      <c r="O145" s="81" t="s">
        <v>694</v>
      </c>
      <c r="P145" s="56" t="s">
        <v>56</v>
      </c>
      <c r="Q145" s="56" t="s">
        <v>695</v>
      </c>
      <c r="S145" s="72"/>
    </row>
    <row r="146" ht="39.75" customHeight="1" spans="2:19">
      <c r="B146" s="54" t="s">
        <v>696</v>
      </c>
      <c r="C146" s="59" t="s">
        <v>148</v>
      </c>
      <c r="D146" s="80" t="s">
        <v>53</v>
      </c>
      <c r="E146" s="54" t="s">
        <v>24</v>
      </c>
      <c r="F146" s="56" t="s">
        <v>697</v>
      </c>
      <c r="G146" s="56" t="s">
        <v>67</v>
      </c>
      <c r="H146" s="56" t="s">
        <v>53</v>
      </c>
      <c r="K146" s="73"/>
      <c r="L146" s="54" t="s">
        <v>696</v>
      </c>
      <c r="M146" s="56" t="s">
        <v>698</v>
      </c>
      <c r="N146" s="56" t="s">
        <v>699</v>
      </c>
      <c r="O146" s="81" t="s">
        <v>694</v>
      </c>
      <c r="P146" s="56" t="s">
        <v>56</v>
      </c>
      <c r="Q146" s="56" t="s">
        <v>42</v>
      </c>
      <c r="S146" s="72"/>
    </row>
    <row r="147" ht="39.75" customHeight="1" spans="2:19">
      <c r="B147" s="54" t="s">
        <v>700</v>
      </c>
      <c r="C147" s="59" t="s">
        <v>154</v>
      </c>
      <c r="D147" s="80" t="s">
        <v>53</v>
      </c>
      <c r="E147" s="54" t="s">
        <v>37</v>
      </c>
      <c r="F147" s="73" t="s">
        <v>701</v>
      </c>
      <c r="G147" s="56" t="s">
        <v>67</v>
      </c>
      <c r="H147" s="56" t="s">
        <v>53</v>
      </c>
      <c r="K147" s="73"/>
      <c r="L147" s="54" t="s">
        <v>700</v>
      </c>
      <c r="M147" s="56" t="s">
        <v>702</v>
      </c>
      <c r="N147" s="56" t="s">
        <v>703</v>
      </c>
      <c r="O147" s="81" t="s">
        <v>694</v>
      </c>
      <c r="P147" s="56" t="s">
        <v>56</v>
      </c>
      <c r="Q147" s="56" t="s">
        <v>704</v>
      </c>
      <c r="S147" s="72"/>
    </row>
    <row r="148" ht="39.75" customHeight="1" spans="2:19">
      <c r="B148" s="54" t="s">
        <v>705</v>
      </c>
      <c r="C148" s="59" t="s">
        <v>160</v>
      </c>
      <c r="D148" s="80" t="s">
        <v>53</v>
      </c>
      <c r="E148" s="54" t="s">
        <v>46</v>
      </c>
      <c r="F148" s="73" t="s">
        <v>651</v>
      </c>
      <c r="G148" s="56" t="s">
        <v>67</v>
      </c>
      <c r="H148" s="56" t="s">
        <v>53</v>
      </c>
      <c r="K148" s="73"/>
      <c r="L148" s="54" t="s">
        <v>705</v>
      </c>
      <c r="M148" s="56" t="s">
        <v>706</v>
      </c>
      <c r="N148" s="56" t="s">
        <v>707</v>
      </c>
      <c r="O148" s="81" t="s">
        <v>694</v>
      </c>
      <c r="P148" s="56" t="s">
        <v>56</v>
      </c>
      <c r="Q148" s="56" t="s">
        <v>654</v>
      </c>
      <c r="S148" s="72"/>
    </row>
    <row r="149" ht="39.75" customHeight="1" spans="2:19">
      <c r="B149" s="54" t="s">
        <v>708</v>
      </c>
      <c r="C149" s="59" t="s">
        <v>164</v>
      </c>
      <c r="D149" s="80" t="s">
        <v>53</v>
      </c>
      <c r="E149" s="54" t="s">
        <v>25</v>
      </c>
      <c r="F149" s="56" t="s">
        <v>709</v>
      </c>
      <c r="G149" s="56" t="s">
        <v>67</v>
      </c>
      <c r="H149" s="56" t="s">
        <v>59</v>
      </c>
      <c r="K149" s="73"/>
      <c r="L149" s="54" t="s">
        <v>708</v>
      </c>
      <c r="M149" s="56" t="s">
        <v>710</v>
      </c>
      <c r="N149" s="56" t="s">
        <v>711</v>
      </c>
      <c r="O149" s="81" t="s">
        <v>712</v>
      </c>
      <c r="P149" s="56" t="s">
        <v>56</v>
      </c>
      <c r="Q149" s="56" t="s">
        <v>713</v>
      </c>
      <c r="S149" s="72"/>
    </row>
    <row r="150" ht="39.75" customHeight="1" spans="2:19">
      <c r="B150" s="54" t="s">
        <v>714</v>
      </c>
      <c r="C150" s="59" t="s">
        <v>171</v>
      </c>
      <c r="D150" s="80" t="s">
        <v>53</v>
      </c>
      <c r="E150" s="54" t="s">
        <v>24</v>
      </c>
      <c r="F150" s="56" t="s">
        <v>715</v>
      </c>
      <c r="G150" s="56" t="s">
        <v>67</v>
      </c>
      <c r="H150" s="56" t="s">
        <v>59</v>
      </c>
      <c r="K150" s="73"/>
      <c r="L150" s="54" t="s">
        <v>714</v>
      </c>
      <c r="M150" s="56" t="s">
        <v>716</v>
      </c>
      <c r="N150" s="56" t="s">
        <v>717</v>
      </c>
      <c r="O150" s="81" t="s">
        <v>712</v>
      </c>
      <c r="P150" s="56" t="s">
        <v>56</v>
      </c>
      <c r="Q150" s="56" t="s">
        <v>50</v>
      </c>
      <c r="S150" s="72"/>
    </row>
    <row r="151" ht="39.75" customHeight="1" spans="2:19">
      <c r="B151" s="54" t="s">
        <v>718</v>
      </c>
      <c r="C151" s="59" t="s">
        <v>177</v>
      </c>
      <c r="D151" s="80" t="s">
        <v>53</v>
      </c>
      <c r="E151" s="54" t="s">
        <v>37</v>
      </c>
      <c r="F151" s="73" t="s">
        <v>719</v>
      </c>
      <c r="G151" s="56" t="s">
        <v>67</v>
      </c>
      <c r="H151" s="56" t="s">
        <v>59</v>
      </c>
      <c r="K151" s="73"/>
      <c r="L151" s="54" t="s">
        <v>718</v>
      </c>
      <c r="M151" s="56" t="s">
        <v>720</v>
      </c>
      <c r="N151" s="56" t="s">
        <v>721</v>
      </c>
      <c r="O151" s="81" t="s">
        <v>712</v>
      </c>
      <c r="P151" s="56" t="s">
        <v>56</v>
      </c>
      <c r="Q151" s="56" t="s">
        <v>722</v>
      </c>
      <c r="S151" s="72"/>
    </row>
    <row r="152" ht="39.75" customHeight="1" spans="2:19">
      <c r="B152" s="54" t="s">
        <v>723</v>
      </c>
      <c r="C152" s="59" t="s">
        <v>183</v>
      </c>
      <c r="D152" s="80" t="s">
        <v>53</v>
      </c>
      <c r="E152" s="54" t="s">
        <v>46</v>
      </c>
      <c r="F152" s="73" t="s">
        <v>651</v>
      </c>
      <c r="G152" s="56" t="s">
        <v>67</v>
      </c>
      <c r="H152" s="56" t="s">
        <v>59</v>
      </c>
      <c r="K152" s="73"/>
      <c r="L152" s="54" t="s">
        <v>723</v>
      </c>
      <c r="M152" s="56" t="s">
        <v>724</v>
      </c>
      <c r="N152" s="56" t="s">
        <v>725</v>
      </c>
      <c r="O152" s="81" t="s">
        <v>712</v>
      </c>
      <c r="P152" s="56" t="s">
        <v>56</v>
      </c>
      <c r="Q152" s="56" t="s">
        <v>654</v>
      </c>
      <c r="S152" s="72"/>
    </row>
    <row r="153" ht="39.75" customHeight="1" spans="2:19">
      <c r="B153" s="54" t="s">
        <v>726</v>
      </c>
      <c r="C153" s="59" t="s">
        <v>187</v>
      </c>
      <c r="D153" s="80" t="s">
        <v>53</v>
      </c>
      <c r="E153" s="54" t="s">
        <v>25</v>
      </c>
      <c r="F153" s="56" t="s">
        <v>727</v>
      </c>
      <c r="G153" s="56" t="s">
        <v>67</v>
      </c>
      <c r="H153" s="56" t="s">
        <v>189</v>
      </c>
      <c r="K153" s="73"/>
      <c r="L153" s="54" t="s">
        <v>726</v>
      </c>
      <c r="M153" s="56" t="s">
        <v>728</v>
      </c>
      <c r="N153" s="56" t="s">
        <v>729</v>
      </c>
      <c r="O153" s="81" t="s">
        <v>730</v>
      </c>
      <c r="P153" s="56" t="s">
        <v>56</v>
      </c>
      <c r="Q153" s="56" t="s">
        <v>506</v>
      </c>
      <c r="S153" s="72"/>
    </row>
    <row r="154" ht="39.75" customHeight="1" spans="2:19">
      <c r="B154" s="54" t="s">
        <v>731</v>
      </c>
      <c r="C154" s="74" t="s">
        <v>194</v>
      </c>
      <c r="D154" s="80" t="s">
        <v>53</v>
      </c>
      <c r="E154" s="54" t="s">
        <v>24</v>
      </c>
      <c r="F154" s="56" t="s">
        <v>732</v>
      </c>
      <c r="G154" s="56" t="s">
        <v>67</v>
      </c>
      <c r="H154" s="56" t="s">
        <v>189</v>
      </c>
      <c r="K154" s="73"/>
      <c r="L154" s="54" t="s">
        <v>731</v>
      </c>
      <c r="M154" s="56" t="s">
        <v>733</v>
      </c>
      <c r="N154" s="56" t="s">
        <v>734</v>
      </c>
      <c r="O154" s="81" t="s">
        <v>730</v>
      </c>
      <c r="P154" s="56" t="s">
        <v>56</v>
      </c>
      <c r="Q154" s="56" t="s">
        <v>42</v>
      </c>
      <c r="S154" s="72"/>
    </row>
    <row r="155" ht="39.75" customHeight="1" spans="2:19">
      <c r="B155" s="54" t="s">
        <v>735</v>
      </c>
      <c r="C155" s="74" t="s">
        <v>199</v>
      </c>
      <c r="D155" s="80" t="s">
        <v>53</v>
      </c>
      <c r="E155" s="54" t="s">
        <v>37</v>
      </c>
      <c r="F155" s="73" t="s">
        <v>736</v>
      </c>
      <c r="G155" s="56" t="s">
        <v>67</v>
      </c>
      <c r="H155" s="56" t="s">
        <v>189</v>
      </c>
      <c r="K155" s="73"/>
      <c r="L155" s="54" t="s">
        <v>735</v>
      </c>
      <c r="M155" s="56" t="s">
        <v>737</v>
      </c>
      <c r="N155" s="56" t="s">
        <v>738</v>
      </c>
      <c r="O155" s="81" t="s">
        <v>730</v>
      </c>
      <c r="P155" s="56" t="s">
        <v>56</v>
      </c>
      <c r="Q155" s="56" t="s">
        <v>739</v>
      </c>
      <c r="S155" s="72"/>
    </row>
    <row r="156" ht="39.75" customHeight="1" spans="2:19">
      <c r="B156" s="54" t="s">
        <v>740</v>
      </c>
      <c r="C156" s="59" t="s">
        <v>204</v>
      </c>
      <c r="D156" s="80" t="s">
        <v>53</v>
      </c>
      <c r="E156" s="54" t="s">
        <v>46</v>
      </c>
      <c r="F156" s="73" t="s">
        <v>651</v>
      </c>
      <c r="G156" s="56" t="s">
        <v>67</v>
      </c>
      <c r="H156" s="56" t="s">
        <v>189</v>
      </c>
      <c r="K156" s="73"/>
      <c r="L156" s="54" t="s">
        <v>740</v>
      </c>
      <c r="M156" s="56" t="s">
        <v>741</v>
      </c>
      <c r="N156" s="56" t="s">
        <v>742</v>
      </c>
      <c r="O156" s="81" t="s">
        <v>730</v>
      </c>
      <c r="P156" s="56" t="s">
        <v>56</v>
      </c>
      <c r="Q156" s="56" t="s">
        <v>654</v>
      </c>
      <c r="S156" s="72"/>
    </row>
    <row r="157" ht="39.75" customHeight="1" spans="2:19">
      <c r="B157" s="54" t="s">
        <v>743</v>
      </c>
      <c r="C157" s="59" t="s">
        <v>208</v>
      </c>
      <c r="D157" s="80" t="s">
        <v>53</v>
      </c>
      <c r="E157" s="54" t="s">
        <v>25</v>
      </c>
      <c r="F157" s="56" t="s">
        <v>744</v>
      </c>
      <c r="G157" s="56" t="s">
        <v>67</v>
      </c>
      <c r="H157" s="56" t="s">
        <v>210</v>
      </c>
      <c r="K157" s="73"/>
      <c r="L157" s="54" t="s">
        <v>743</v>
      </c>
      <c r="M157" s="56" t="s">
        <v>745</v>
      </c>
      <c r="N157" s="56" t="s">
        <v>746</v>
      </c>
      <c r="O157" s="81" t="s">
        <v>747</v>
      </c>
      <c r="P157" s="56" t="s">
        <v>56</v>
      </c>
      <c r="Q157" s="56" t="s">
        <v>748</v>
      </c>
      <c r="S157" s="72"/>
    </row>
    <row r="158" ht="39.75" customHeight="1" spans="2:19">
      <c r="B158" s="54" t="s">
        <v>749</v>
      </c>
      <c r="C158" s="59" t="s">
        <v>216</v>
      </c>
      <c r="D158" s="80" t="s">
        <v>53</v>
      </c>
      <c r="E158" s="54" t="s">
        <v>24</v>
      </c>
      <c r="F158" s="56" t="s">
        <v>732</v>
      </c>
      <c r="G158" s="56" t="s">
        <v>67</v>
      </c>
      <c r="H158" s="56" t="s">
        <v>210</v>
      </c>
      <c r="K158" s="73"/>
      <c r="L158" s="54" t="s">
        <v>749</v>
      </c>
      <c r="M158" s="56" t="s">
        <v>750</v>
      </c>
      <c r="N158" s="56" t="s">
        <v>751</v>
      </c>
      <c r="O158" s="81" t="s">
        <v>747</v>
      </c>
      <c r="P158" s="56" t="s">
        <v>56</v>
      </c>
      <c r="Q158" s="56" t="s">
        <v>42</v>
      </c>
      <c r="S158" s="72"/>
    </row>
    <row r="159" ht="39.75" customHeight="1" spans="2:19">
      <c r="B159" s="54" t="s">
        <v>752</v>
      </c>
      <c r="C159" s="74" t="s">
        <v>220</v>
      </c>
      <c r="D159" s="80" t="s">
        <v>53</v>
      </c>
      <c r="E159" s="54" t="s">
        <v>37</v>
      </c>
      <c r="F159" s="73" t="s">
        <v>616</v>
      </c>
      <c r="G159" s="56" t="s">
        <v>67</v>
      </c>
      <c r="H159" s="56" t="s">
        <v>210</v>
      </c>
      <c r="K159" s="73"/>
      <c r="L159" s="54" t="s">
        <v>752</v>
      </c>
      <c r="M159" s="56" t="s">
        <v>753</v>
      </c>
      <c r="N159" s="56" t="s">
        <v>754</v>
      </c>
      <c r="O159" s="81" t="s">
        <v>747</v>
      </c>
      <c r="P159" s="56" t="s">
        <v>56</v>
      </c>
      <c r="Q159" s="56" t="s">
        <v>755</v>
      </c>
      <c r="S159" s="72"/>
    </row>
    <row r="160" ht="39.75" customHeight="1" spans="2:19">
      <c r="B160" s="54" t="s">
        <v>756</v>
      </c>
      <c r="C160" s="59" t="s">
        <v>226</v>
      </c>
      <c r="D160" s="80" t="s">
        <v>53</v>
      </c>
      <c r="E160" s="54" t="s">
        <v>46</v>
      </c>
      <c r="F160" s="73" t="s">
        <v>651</v>
      </c>
      <c r="G160" s="56" t="s">
        <v>67</v>
      </c>
      <c r="H160" s="56" t="s">
        <v>210</v>
      </c>
      <c r="K160" s="73"/>
      <c r="L160" s="54" t="s">
        <v>756</v>
      </c>
      <c r="M160" s="56" t="s">
        <v>757</v>
      </c>
      <c r="N160" s="56" t="s">
        <v>758</v>
      </c>
      <c r="O160" s="81" t="s">
        <v>747</v>
      </c>
      <c r="P160" s="56" t="s">
        <v>56</v>
      </c>
      <c r="Q160" s="56" t="s">
        <v>654</v>
      </c>
      <c r="S160" s="72"/>
    </row>
    <row r="161" ht="39.75" customHeight="1" spans="2:19">
      <c r="B161" s="54" t="s">
        <v>759</v>
      </c>
      <c r="C161" s="59" t="s">
        <v>230</v>
      </c>
      <c r="D161" s="80" t="s">
        <v>53</v>
      </c>
      <c r="E161" s="54" t="s">
        <v>25</v>
      </c>
      <c r="F161" s="56" t="s">
        <v>47</v>
      </c>
      <c r="G161" s="56" t="s">
        <v>67</v>
      </c>
      <c r="H161" s="56" t="s">
        <v>232</v>
      </c>
      <c r="K161" s="73"/>
      <c r="L161" s="54" t="s">
        <v>759</v>
      </c>
      <c r="M161" s="56" t="s">
        <v>760</v>
      </c>
      <c r="N161" s="56" t="s">
        <v>761</v>
      </c>
      <c r="O161" s="81" t="s">
        <v>762</v>
      </c>
      <c r="P161" s="56" t="s">
        <v>56</v>
      </c>
      <c r="Q161" s="56" t="s">
        <v>50</v>
      </c>
      <c r="S161" s="72"/>
    </row>
    <row r="162" ht="39.75" customHeight="1" spans="2:19">
      <c r="B162" s="54" t="s">
        <v>763</v>
      </c>
      <c r="C162" s="59" t="s">
        <v>237</v>
      </c>
      <c r="D162" s="80" t="s">
        <v>53</v>
      </c>
      <c r="E162" s="54" t="s">
        <v>24</v>
      </c>
      <c r="F162" s="56" t="s">
        <v>764</v>
      </c>
      <c r="G162" s="56" t="s">
        <v>67</v>
      </c>
      <c r="H162" s="56" t="s">
        <v>232</v>
      </c>
      <c r="K162" s="73"/>
      <c r="L162" s="54" t="s">
        <v>763</v>
      </c>
      <c r="M162" s="56" t="s">
        <v>765</v>
      </c>
      <c r="N162" s="56" t="s">
        <v>766</v>
      </c>
      <c r="O162" s="81" t="s">
        <v>762</v>
      </c>
      <c r="P162" s="56" t="s">
        <v>56</v>
      </c>
      <c r="Q162" s="56" t="s">
        <v>767</v>
      </c>
      <c r="S162" s="72"/>
    </row>
    <row r="163" ht="39.75" customHeight="1" spans="2:19">
      <c r="B163" s="54" t="s">
        <v>768</v>
      </c>
      <c r="C163" s="59" t="s">
        <v>243</v>
      </c>
      <c r="D163" s="80" t="s">
        <v>53</v>
      </c>
      <c r="E163" s="54" t="s">
        <v>37</v>
      </c>
      <c r="F163" s="73" t="s">
        <v>769</v>
      </c>
      <c r="G163" s="56" t="s">
        <v>67</v>
      </c>
      <c r="H163" s="56" t="s">
        <v>232</v>
      </c>
      <c r="K163" s="73"/>
      <c r="L163" s="54" t="s">
        <v>768</v>
      </c>
      <c r="M163" s="56" t="s">
        <v>770</v>
      </c>
      <c r="N163" s="56" t="s">
        <v>771</v>
      </c>
      <c r="O163" s="81" t="s">
        <v>762</v>
      </c>
      <c r="P163" s="56" t="s">
        <v>56</v>
      </c>
      <c r="Q163" s="56" t="s">
        <v>772</v>
      </c>
      <c r="S163" s="72"/>
    </row>
    <row r="164" ht="39.75" customHeight="1" spans="2:19">
      <c r="B164" s="54" t="s">
        <v>773</v>
      </c>
      <c r="C164" s="59" t="s">
        <v>249</v>
      </c>
      <c r="D164" s="80" t="s">
        <v>53</v>
      </c>
      <c r="E164" s="54" t="s">
        <v>46</v>
      </c>
      <c r="F164" s="73" t="s">
        <v>651</v>
      </c>
      <c r="G164" s="56" t="s">
        <v>67</v>
      </c>
      <c r="H164" s="56" t="s">
        <v>232</v>
      </c>
      <c r="K164" s="73"/>
      <c r="L164" s="54" t="s">
        <v>773</v>
      </c>
      <c r="M164" s="56" t="s">
        <v>774</v>
      </c>
      <c r="N164" s="56" t="s">
        <v>775</v>
      </c>
      <c r="O164" s="81" t="s">
        <v>762</v>
      </c>
      <c r="P164" s="56" t="s">
        <v>56</v>
      </c>
      <c r="Q164" s="56" t="s">
        <v>654</v>
      </c>
      <c r="S164" s="72"/>
    </row>
    <row r="165" ht="39.75" customHeight="1" spans="2:19">
      <c r="B165" s="54" t="s">
        <v>776</v>
      </c>
      <c r="C165" s="59" t="s">
        <v>253</v>
      </c>
      <c r="D165" s="80" t="s">
        <v>53</v>
      </c>
      <c r="E165" s="54" t="s">
        <v>25</v>
      </c>
      <c r="F165" s="56" t="s">
        <v>727</v>
      </c>
      <c r="G165" s="56" t="s">
        <v>67</v>
      </c>
      <c r="H165" s="56" t="s">
        <v>254</v>
      </c>
      <c r="K165" s="73"/>
      <c r="L165" s="54" t="s">
        <v>776</v>
      </c>
      <c r="M165" s="56" t="s">
        <v>777</v>
      </c>
      <c r="N165" s="56" t="s">
        <v>778</v>
      </c>
      <c r="O165" s="81" t="s">
        <v>779</v>
      </c>
      <c r="P165" s="56" t="s">
        <v>56</v>
      </c>
      <c r="Q165" s="56" t="s">
        <v>506</v>
      </c>
      <c r="S165" s="72"/>
    </row>
    <row r="166" ht="39.75" customHeight="1" spans="2:19">
      <c r="B166" s="54" t="s">
        <v>780</v>
      </c>
      <c r="C166" s="59" t="s">
        <v>259</v>
      </c>
      <c r="D166" s="80" t="s">
        <v>53</v>
      </c>
      <c r="E166" s="54" t="s">
        <v>24</v>
      </c>
      <c r="F166" s="56" t="s">
        <v>781</v>
      </c>
      <c r="G166" s="56" t="s">
        <v>67</v>
      </c>
      <c r="H166" s="56" t="s">
        <v>254</v>
      </c>
      <c r="K166" s="73"/>
      <c r="L166" s="54" t="s">
        <v>780</v>
      </c>
      <c r="M166" s="56" t="s">
        <v>782</v>
      </c>
      <c r="N166" s="56" t="s">
        <v>783</v>
      </c>
      <c r="O166" s="81" t="s">
        <v>779</v>
      </c>
      <c r="P166" s="56" t="s">
        <v>56</v>
      </c>
      <c r="Q166" s="56" t="s">
        <v>577</v>
      </c>
      <c r="S166" s="72"/>
    </row>
    <row r="167" ht="39.75" customHeight="1" spans="2:19">
      <c r="B167" s="54" t="s">
        <v>784</v>
      </c>
      <c r="C167" s="59" t="s">
        <v>265</v>
      </c>
      <c r="D167" s="80" t="s">
        <v>53</v>
      </c>
      <c r="E167" s="54" t="s">
        <v>37</v>
      </c>
      <c r="F167" s="73" t="s">
        <v>785</v>
      </c>
      <c r="G167" s="56" t="s">
        <v>67</v>
      </c>
      <c r="H167" s="56" t="s">
        <v>254</v>
      </c>
      <c r="K167" s="73"/>
      <c r="L167" s="54" t="s">
        <v>784</v>
      </c>
      <c r="M167" s="56" t="s">
        <v>786</v>
      </c>
      <c r="N167" s="56" t="s">
        <v>787</v>
      </c>
      <c r="O167" s="81" t="s">
        <v>779</v>
      </c>
      <c r="P167" s="56" t="s">
        <v>56</v>
      </c>
      <c r="Q167" s="56" t="s">
        <v>788</v>
      </c>
      <c r="S167" s="72"/>
    </row>
    <row r="168" ht="39.75" customHeight="1" spans="2:19">
      <c r="B168" s="54" t="s">
        <v>789</v>
      </c>
      <c r="C168" s="59" t="s">
        <v>271</v>
      </c>
      <c r="D168" s="80" t="s">
        <v>53</v>
      </c>
      <c r="E168" s="54" t="s">
        <v>46</v>
      </c>
      <c r="F168" s="73" t="s">
        <v>651</v>
      </c>
      <c r="G168" s="56" t="s">
        <v>67</v>
      </c>
      <c r="H168" s="56" t="s">
        <v>254</v>
      </c>
      <c r="K168" s="73"/>
      <c r="L168" s="54" t="s">
        <v>789</v>
      </c>
      <c r="M168" s="56" t="s">
        <v>790</v>
      </c>
      <c r="N168" s="56" t="s">
        <v>791</v>
      </c>
      <c r="O168" s="81" t="s">
        <v>779</v>
      </c>
      <c r="P168" s="56" t="s">
        <v>56</v>
      </c>
      <c r="Q168" s="56" t="s">
        <v>654</v>
      </c>
      <c r="S168" s="72"/>
    </row>
    <row r="169" ht="39.75" customHeight="1" spans="2:19">
      <c r="B169" s="54" t="s">
        <v>792</v>
      </c>
      <c r="C169" s="59" t="s">
        <v>275</v>
      </c>
      <c r="D169" s="80" t="s">
        <v>53</v>
      </c>
      <c r="E169" s="54" t="s">
        <v>25</v>
      </c>
      <c r="F169" s="56" t="s">
        <v>793</v>
      </c>
      <c r="G169" s="56" t="s">
        <v>67</v>
      </c>
      <c r="H169" s="56" t="s">
        <v>276</v>
      </c>
      <c r="K169" s="73"/>
      <c r="L169" s="54" t="s">
        <v>792</v>
      </c>
      <c r="M169" s="56" t="s">
        <v>794</v>
      </c>
      <c r="N169" s="56" t="s">
        <v>795</v>
      </c>
      <c r="O169" s="81" t="s">
        <v>796</v>
      </c>
      <c r="P169" s="56" t="s">
        <v>56</v>
      </c>
      <c r="Q169" s="56" t="s">
        <v>797</v>
      </c>
      <c r="S169" s="72"/>
    </row>
    <row r="170" ht="39.75" customHeight="1" spans="2:19">
      <c r="B170" s="54" t="s">
        <v>798</v>
      </c>
      <c r="C170" s="59" t="s">
        <v>281</v>
      </c>
      <c r="D170" s="80" t="s">
        <v>53</v>
      </c>
      <c r="E170" s="54" t="s">
        <v>24</v>
      </c>
      <c r="F170" s="56" t="s">
        <v>732</v>
      </c>
      <c r="G170" s="56" t="s">
        <v>67</v>
      </c>
      <c r="H170" s="56" t="s">
        <v>276</v>
      </c>
      <c r="K170" s="73"/>
      <c r="L170" s="54" t="s">
        <v>798</v>
      </c>
      <c r="M170" s="56" t="s">
        <v>799</v>
      </c>
      <c r="N170" s="56" t="s">
        <v>800</v>
      </c>
      <c r="O170" s="81" t="s">
        <v>796</v>
      </c>
      <c r="P170" s="56" t="s">
        <v>56</v>
      </c>
      <c r="Q170" s="56" t="s">
        <v>42</v>
      </c>
      <c r="S170" s="72"/>
    </row>
    <row r="171" s="57" customFormat="1" ht="93" customHeight="1" spans="2:19">
      <c r="B171" s="54" t="s">
        <v>801</v>
      </c>
      <c r="C171" s="59" t="s">
        <v>285</v>
      </c>
      <c r="D171" s="80" t="s">
        <v>53</v>
      </c>
      <c r="E171" s="54" t="s">
        <v>37</v>
      </c>
      <c r="F171" s="73" t="s">
        <v>736</v>
      </c>
      <c r="G171" s="56" t="s">
        <v>67</v>
      </c>
      <c r="H171" s="56" t="s">
        <v>276</v>
      </c>
      <c r="I171" s="56"/>
      <c r="J171" s="56"/>
      <c r="K171" s="73"/>
      <c r="L171" s="54" t="s">
        <v>801</v>
      </c>
      <c r="M171" s="56" t="s">
        <v>802</v>
      </c>
      <c r="N171" s="56" t="s">
        <v>803</v>
      </c>
      <c r="O171" s="81" t="s">
        <v>796</v>
      </c>
      <c r="P171" s="56" t="s">
        <v>56</v>
      </c>
      <c r="Q171" s="56" t="s">
        <v>739</v>
      </c>
      <c r="R171" s="56"/>
      <c r="S171" s="72"/>
    </row>
    <row r="172" ht="60.75" customHeight="1" spans="2:19">
      <c r="B172" s="54" t="s">
        <v>804</v>
      </c>
      <c r="C172" s="59" t="s">
        <v>289</v>
      </c>
      <c r="D172" s="80" t="s">
        <v>53</v>
      </c>
      <c r="E172" s="54" t="s">
        <v>46</v>
      </c>
      <c r="F172" s="73" t="s">
        <v>651</v>
      </c>
      <c r="G172" s="56" t="s">
        <v>67</v>
      </c>
      <c r="H172" s="56" t="s">
        <v>276</v>
      </c>
      <c r="K172" s="73"/>
      <c r="L172" s="54" t="s">
        <v>804</v>
      </c>
      <c r="M172" s="56" t="s">
        <v>805</v>
      </c>
      <c r="N172" s="56" t="s">
        <v>806</v>
      </c>
      <c r="O172" s="81" t="s">
        <v>796</v>
      </c>
      <c r="P172" s="56" t="s">
        <v>56</v>
      </c>
      <c r="Q172" s="56" t="s">
        <v>654</v>
      </c>
      <c r="S172" s="72"/>
    </row>
    <row r="173" ht="97.5" customHeight="1" spans="2:19">
      <c r="B173" s="57" t="s">
        <v>807</v>
      </c>
      <c r="C173" s="59" t="s">
        <v>75</v>
      </c>
      <c r="D173" s="82" t="s">
        <v>59</v>
      </c>
      <c r="E173" s="57" t="s">
        <v>25</v>
      </c>
      <c r="F173" s="57" t="s">
        <v>60</v>
      </c>
      <c r="G173" s="57" t="s">
        <v>67</v>
      </c>
      <c r="H173" s="57" t="s">
        <v>24</v>
      </c>
      <c r="L173" s="57" t="s">
        <v>807</v>
      </c>
      <c r="M173" s="57" t="s">
        <v>808</v>
      </c>
      <c r="N173" s="57" t="s">
        <v>809</v>
      </c>
      <c r="O173" s="83" t="s">
        <v>810</v>
      </c>
      <c r="P173" s="56" t="s">
        <v>62</v>
      </c>
      <c r="Q173" s="57" t="s">
        <v>63</v>
      </c>
    </row>
    <row r="174" ht="87.75" customHeight="1" spans="2:19">
      <c r="B174" s="57" t="s">
        <v>811</v>
      </c>
      <c r="C174" s="59" t="s">
        <v>80</v>
      </c>
      <c r="D174" s="82" t="s">
        <v>59</v>
      </c>
      <c r="E174" s="56" t="s">
        <v>24</v>
      </c>
      <c r="F174" s="56" t="s">
        <v>812</v>
      </c>
      <c r="G174" s="57" t="s">
        <v>67</v>
      </c>
      <c r="H174" s="56" t="s">
        <v>24</v>
      </c>
      <c r="L174" s="57" t="s">
        <v>811</v>
      </c>
      <c r="M174" s="57" t="s">
        <v>813</v>
      </c>
      <c r="N174" s="57" t="s">
        <v>814</v>
      </c>
      <c r="O174" s="83" t="s">
        <v>810</v>
      </c>
      <c r="P174" s="56" t="s">
        <v>62</v>
      </c>
      <c r="Q174" s="84" t="s">
        <v>50</v>
      </c>
    </row>
    <row r="175" ht="72" customHeight="1" spans="2:19">
      <c r="B175" s="57" t="s">
        <v>815</v>
      </c>
      <c r="C175" s="59" t="s">
        <v>86</v>
      </c>
      <c r="D175" s="82" t="s">
        <v>59</v>
      </c>
      <c r="E175" s="56" t="s">
        <v>37</v>
      </c>
      <c r="F175" s="73" t="s">
        <v>816</v>
      </c>
      <c r="G175" s="57" t="s">
        <v>67</v>
      </c>
      <c r="H175" s="56" t="s">
        <v>24</v>
      </c>
      <c r="L175" s="57" t="s">
        <v>815</v>
      </c>
      <c r="M175" s="57" t="s">
        <v>817</v>
      </c>
      <c r="N175" s="57" t="s">
        <v>818</v>
      </c>
      <c r="O175" s="83" t="s">
        <v>810</v>
      </c>
      <c r="P175" s="56" t="s">
        <v>62</v>
      </c>
      <c r="Q175" s="84" t="s">
        <v>819</v>
      </c>
    </row>
    <row r="176" ht="68.25" customHeight="1" spans="2:19">
      <c r="B176" s="57" t="s">
        <v>820</v>
      </c>
      <c r="C176" s="59" t="s">
        <v>92</v>
      </c>
      <c r="D176" s="82" t="s">
        <v>59</v>
      </c>
      <c r="E176" s="56" t="s">
        <v>46</v>
      </c>
      <c r="F176" s="73" t="s">
        <v>821</v>
      </c>
      <c r="G176" s="57" t="s">
        <v>67</v>
      </c>
      <c r="H176" s="56" t="s">
        <v>24</v>
      </c>
      <c r="L176" s="57" t="s">
        <v>820</v>
      </c>
      <c r="M176" s="57" t="s">
        <v>822</v>
      </c>
      <c r="N176" s="57" t="s">
        <v>823</v>
      </c>
      <c r="O176" s="83" t="s">
        <v>810</v>
      </c>
      <c r="P176" s="56" t="s">
        <v>62</v>
      </c>
      <c r="Q176" s="56" t="s">
        <v>824</v>
      </c>
    </row>
    <row r="177" ht="105.75" customHeight="1" spans="2:17">
      <c r="B177" s="57" t="s">
        <v>825</v>
      </c>
      <c r="C177" s="59" t="s">
        <v>98</v>
      </c>
      <c r="D177" s="82" t="s">
        <v>59</v>
      </c>
      <c r="E177" s="56" t="s">
        <v>25</v>
      </c>
      <c r="F177" s="57" t="s">
        <v>826</v>
      </c>
      <c r="G177" s="57" t="s">
        <v>67</v>
      </c>
      <c r="H177" s="56" t="s">
        <v>37</v>
      </c>
      <c r="L177" s="57" t="s">
        <v>825</v>
      </c>
      <c r="M177" s="57" t="s">
        <v>827</v>
      </c>
      <c r="N177" s="57" t="s">
        <v>828</v>
      </c>
      <c r="O177" s="83" t="s">
        <v>829</v>
      </c>
      <c r="P177" s="56" t="s">
        <v>62</v>
      </c>
      <c r="Q177" s="73" t="s">
        <v>830</v>
      </c>
    </row>
    <row r="178" ht="97.5" customHeight="1" spans="2:17">
      <c r="B178" s="57" t="s">
        <v>831</v>
      </c>
      <c r="C178" s="59" t="s">
        <v>105</v>
      </c>
      <c r="D178" s="82" t="s">
        <v>59</v>
      </c>
      <c r="E178" s="56" t="s">
        <v>24</v>
      </c>
      <c r="F178" s="56" t="s">
        <v>832</v>
      </c>
      <c r="G178" s="57" t="s">
        <v>67</v>
      </c>
      <c r="H178" s="56" t="s">
        <v>37</v>
      </c>
      <c r="L178" s="57" t="s">
        <v>831</v>
      </c>
      <c r="M178" s="57" t="s">
        <v>833</v>
      </c>
      <c r="N178" s="57" t="s">
        <v>834</v>
      </c>
      <c r="O178" s="83" t="s">
        <v>829</v>
      </c>
      <c r="P178" s="56" t="s">
        <v>62</v>
      </c>
      <c r="Q178" s="56" t="s">
        <v>103</v>
      </c>
    </row>
    <row r="179" ht="54" customHeight="1" spans="2:17">
      <c r="B179" s="57" t="s">
        <v>835</v>
      </c>
      <c r="C179" s="59" t="s">
        <v>111</v>
      </c>
      <c r="D179" s="82" t="s">
        <v>59</v>
      </c>
      <c r="E179" s="56" t="s">
        <v>37</v>
      </c>
      <c r="F179" s="73" t="s">
        <v>836</v>
      </c>
      <c r="G179" s="57" t="s">
        <v>67</v>
      </c>
      <c r="H179" s="56" t="s">
        <v>37</v>
      </c>
      <c r="L179" s="57" t="s">
        <v>835</v>
      </c>
      <c r="M179" s="57" t="s">
        <v>837</v>
      </c>
      <c r="N179" s="57" t="s">
        <v>838</v>
      </c>
      <c r="O179" s="83" t="s">
        <v>829</v>
      </c>
      <c r="P179" s="56" t="s">
        <v>62</v>
      </c>
      <c r="Q179" s="56" t="s">
        <v>839</v>
      </c>
    </row>
    <row r="180" ht="46.5" customHeight="1" spans="2:17">
      <c r="B180" s="57" t="s">
        <v>840</v>
      </c>
      <c r="C180" s="59" t="s">
        <v>117</v>
      </c>
      <c r="D180" s="82" t="s">
        <v>59</v>
      </c>
      <c r="E180" s="56" t="s">
        <v>46</v>
      </c>
      <c r="F180" s="73" t="s">
        <v>821</v>
      </c>
      <c r="G180" s="57" t="s">
        <v>67</v>
      </c>
      <c r="H180" s="56" t="s">
        <v>37</v>
      </c>
      <c r="L180" s="57" t="s">
        <v>840</v>
      </c>
      <c r="M180" s="57" t="s">
        <v>841</v>
      </c>
      <c r="N180" s="57" t="s">
        <v>842</v>
      </c>
      <c r="O180" s="83" t="s">
        <v>829</v>
      </c>
      <c r="P180" s="56" t="s">
        <v>62</v>
      </c>
      <c r="Q180" s="56" t="s">
        <v>824</v>
      </c>
    </row>
    <row r="181" ht="66.75" customHeight="1" spans="2:17">
      <c r="B181" s="57" t="s">
        <v>843</v>
      </c>
      <c r="C181" s="59" t="s">
        <v>121</v>
      </c>
      <c r="D181" s="82" t="s">
        <v>59</v>
      </c>
      <c r="E181" s="56" t="s">
        <v>25</v>
      </c>
      <c r="F181" s="57" t="s">
        <v>844</v>
      </c>
      <c r="G181" s="57" t="s">
        <v>67</v>
      </c>
      <c r="H181" s="56" t="s">
        <v>46</v>
      </c>
      <c r="L181" s="57" t="s">
        <v>843</v>
      </c>
      <c r="M181" s="57" t="s">
        <v>845</v>
      </c>
      <c r="N181" s="57" t="s">
        <v>846</v>
      </c>
      <c r="O181" s="83" t="s">
        <v>847</v>
      </c>
      <c r="P181" s="56" t="s">
        <v>62</v>
      </c>
      <c r="Q181" s="56" t="s">
        <v>848</v>
      </c>
    </row>
    <row r="182" ht="54.75" customHeight="1" spans="2:17">
      <c r="B182" s="57" t="s">
        <v>849</v>
      </c>
      <c r="C182" s="59" t="s">
        <v>128</v>
      </c>
      <c r="D182" s="82" t="s">
        <v>59</v>
      </c>
      <c r="E182" s="56" t="s">
        <v>24</v>
      </c>
      <c r="F182" s="56" t="s">
        <v>832</v>
      </c>
      <c r="G182" s="57" t="s">
        <v>67</v>
      </c>
      <c r="H182" s="56" t="s">
        <v>46</v>
      </c>
      <c r="L182" s="57" t="s">
        <v>849</v>
      </c>
      <c r="M182" s="57" t="s">
        <v>850</v>
      </c>
      <c r="N182" s="57" t="s">
        <v>851</v>
      </c>
      <c r="O182" s="83" t="s">
        <v>847</v>
      </c>
      <c r="P182" s="56" t="s">
        <v>62</v>
      </c>
      <c r="Q182" s="56" t="s">
        <v>103</v>
      </c>
    </row>
    <row r="183" ht="54.75" customHeight="1" spans="2:17">
      <c r="B183" s="57" t="s">
        <v>852</v>
      </c>
      <c r="C183" s="59" t="s">
        <v>132</v>
      </c>
      <c r="D183" s="82" t="s">
        <v>59</v>
      </c>
      <c r="E183" s="56" t="s">
        <v>37</v>
      </c>
      <c r="F183" s="73" t="s">
        <v>853</v>
      </c>
      <c r="G183" s="57" t="s">
        <v>67</v>
      </c>
      <c r="H183" s="56" t="s">
        <v>46</v>
      </c>
      <c r="L183" s="57" t="s">
        <v>852</v>
      </c>
      <c r="M183" s="57" t="s">
        <v>854</v>
      </c>
      <c r="N183" s="57" t="s">
        <v>855</v>
      </c>
      <c r="O183" s="83" t="s">
        <v>847</v>
      </c>
      <c r="P183" s="56" t="s">
        <v>62</v>
      </c>
      <c r="Q183" s="56" t="s">
        <v>856</v>
      </c>
    </row>
    <row r="184" ht="54.75" customHeight="1" spans="2:17">
      <c r="B184" s="57" t="s">
        <v>857</v>
      </c>
      <c r="C184" s="59" t="s">
        <v>138</v>
      </c>
      <c r="D184" s="82" t="s">
        <v>59</v>
      </c>
      <c r="E184" s="56" t="s">
        <v>46</v>
      </c>
      <c r="F184" s="73" t="s">
        <v>821</v>
      </c>
      <c r="G184" s="57" t="s">
        <v>67</v>
      </c>
      <c r="H184" s="56" t="s">
        <v>46</v>
      </c>
      <c r="L184" s="57" t="s">
        <v>857</v>
      </c>
      <c r="M184" s="57" t="s">
        <v>858</v>
      </c>
      <c r="N184" s="57" t="s">
        <v>859</v>
      </c>
      <c r="O184" s="83" t="s">
        <v>847</v>
      </c>
      <c r="P184" s="56" t="s">
        <v>62</v>
      </c>
      <c r="Q184" s="56" t="s">
        <v>824</v>
      </c>
    </row>
    <row r="185" ht="54.75" customHeight="1" spans="2:17">
      <c r="B185" s="57" t="s">
        <v>860</v>
      </c>
      <c r="C185" s="59" t="s">
        <v>142</v>
      </c>
      <c r="D185" s="82" t="s">
        <v>59</v>
      </c>
      <c r="E185" s="56" t="s">
        <v>25</v>
      </c>
      <c r="F185" s="57" t="s">
        <v>861</v>
      </c>
      <c r="G185" s="57"/>
      <c r="H185" s="56" t="s">
        <v>53</v>
      </c>
      <c r="L185" s="57" t="s">
        <v>860</v>
      </c>
      <c r="M185" s="57" t="s">
        <v>862</v>
      </c>
      <c r="N185" s="57" t="s">
        <v>863</v>
      </c>
      <c r="O185" s="83" t="s">
        <v>864</v>
      </c>
      <c r="P185" s="56" t="s">
        <v>62</v>
      </c>
      <c r="Q185" s="56" t="s">
        <v>865</v>
      </c>
    </row>
    <row r="186" ht="54.75" customHeight="1" spans="2:17">
      <c r="B186" s="57" t="s">
        <v>866</v>
      </c>
      <c r="C186" s="59" t="s">
        <v>148</v>
      </c>
      <c r="D186" s="82" t="s">
        <v>59</v>
      </c>
      <c r="E186" s="56" t="s">
        <v>24</v>
      </c>
      <c r="F186" s="56" t="s">
        <v>867</v>
      </c>
      <c r="G186" s="57"/>
      <c r="H186" s="56" t="s">
        <v>53</v>
      </c>
      <c r="L186" s="57" t="s">
        <v>866</v>
      </c>
      <c r="M186" s="57" t="s">
        <v>868</v>
      </c>
      <c r="N186" s="57" t="s">
        <v>869</v>
      </c>
      <c r="O186" s="83" t="s">
        <v>864</v>
      </c>
      <c r="P186" s="56" t="s">
        <v>62</v>
      </c>
      <c r="Q186" s="56" t="s">
        <v>870</v>
      </c>
    </row>
    <row r="187" ht="54.75" customHeight="1" spans="2:17">
      <c r="B187" s="57" t="s">
        <v>871</v>
      </c>
      <c r="C187" s="59" t="s">
        <v>154</v>
      </c>
      <c r="D187" s="82" t="s">
        <v>59</v>
      </c>
      <c r="E187" s="56" t="s">
        <v>37</v>
      </c>
      <c r="F187" s="73" t="s">
        <v>872</v>
      </c>
      <c r="G187" s="57"/>
      <c r="H187" s="56" t="s">
        <v>53</v>
      </c>
      <c r="L187" s="57" t="s">
        <v>871</v>
      </c>
      <c r="M187" s="57" t="s">
        <v>873</v>
      </c>
      <c r="N187" s="57" t="s">
        <v>874</v>
      </c>
      <c r="O187" s="83" t="s">
        <v>864</v>
      </c>
      <c r="P187" s="56" t="s">
        <v>62</v>
      </c>
      <c r="Q187" s="56" t="s">
        <v>875</v>
      </c>
    </row>
    <row r="188" ht="54.75" customHeight="1" spans="2:17">
      <c r="B188" s="57" t="s">
        <v>876</v>
      </c>
      <c r="C188" s="59" t="s">
        <v>160</v>
      </c>
      <c r="D188" s="82" t="s">
        <v>59</v>
      </c>
      <c r="E188" s="56" t="s">
        <v>46</v>
      </c>
      <c r="F188" s="73" t="s">
        <v>821</v>
      </c>
      <c r="G188" s="57"/>
      <c r="H188" s="56" t="s">
        <v>53</v>
      </c>
      <c r="L188" s="57" t="s">
        <v>876</v>
      </c>
      <c r="M188" s="57" t="s">
        <v>877</v>
      </c>
      <c r="N188" s="57" t="s">
        <v>878</v>
      </c>
      <c r="O188" s="83" t="s">
        <v>864</v>
      </c>
      <c r="P188" s="56" t="s">
        <v>62</v>
      </c>
      <c r="Q188" s="56" t="s">
        <v>824</v>
      </c>
    </row>
    <row r="189" ht="54.75" customHeight="1" spans="2:17">
      <c r="B189" s="57" t="s">
        <v>879</v>
      </c>
      <c r="C189" s="59" t="s">
        <v>164</v>
      </c>
      <c r="D189" s="82" t="s">
        <v>59</v>
      </c>
      <c r="E189" s="56" t="s">
        <v>25</v>
      </c>
      <c r="F189" s="57" t="s">
        <v>880</v>
      </c>
      <c r="G189" s="57"/>
      <c r="H189" s="56" t="s">
        <v>59</v>
      </c>
      <c r="L189" s="57" t="s">
        <v>879</v>
      </c>
      <c r="M189" s="57" t="s">
        <v>881</v>
      </c>
      <c r="N189" s="57" t="s">
        <v>882</v>
      </c>
      <c r="O189" s="83" t="s">
        <v>883</v>
      </c>
      <c r="P189" s="56" t="s">
        <v>62</v>
      </c>
      <c r="Q189" s="56" t="s">
        <v>481</v>
      </c>
    </row>
    <row r="190" ht="54.75" customHeight="1" spans="2:17">
      <c r="B190" s="57" t="s">
        <v>884</v>
      </c>
      <c r="C190" s="59" t="s">
        <v>171</v>
      </c>
      <c r="D190" s="82" t="s">
        <v>59</v>
      </c>
      <c r="E190" s="56" t="s">
        <v>24</v>
      </c>
      <c r="F190" s="56" t="s">
        <v>885</v>
      </c>
      <c r="G190" s="57"/>
      <c r="H190" s="56" t="s">
        <v>59</v>
      </c>
      <c r="L190" s="57" t="s">
        <v>884</v>
      </c>
      <c r="M190" s="57" t="s">
        <v>886</v>
      </c>
      <c r="N190" s="57" t="s">
        <v>887</v>
      </c>
      <c r="O190" s="83" t="s">
        <v>883</v>
      </c>
      <c r="P190" s="56" t="s">
        <v>62</v>
      </c>
      <c r="Q190" s="56" t="s">
        <v>888</v>
      </c>
    </row>
    <row r="191" ht="54.75" customHeight="1" spans="2:17">
      <c r="B191" s="57" t="s">
        <v>889</v>
      </c>
      <c r="C191" s="59" t="s">
        <v>177</v>
      </c>
      <c r="D191" s="82" t="s">
        <v>59</v>
      </c>
      <c r="E191" s="56" t="s">
        <v>37</v>
      </c>
      <c r="F191" s="73" t="s">
        <v>890</v>
      </c>
      <c r="G191" s="57"/>
      <c r="H191" s="56" t="s">
        <v>59</v>
      </c>
      <c r="L191" s="57" t="s">
        <v>889</v>
      </c>
      <c r="M191" s="57" t="s">
        <v>891</v>
      </c>
      <c r="N191" s="57" t="s">
        <v>892</v>
      </c>
      <c r="O191" s="83" t="s">
        <v>883</v>
      </c>
      <c r="P191" s="56" t="s">
        <v>62</v>
      </c>
      <c r="Q191" s="56" t="s">
        <v>893</v>
      </c>
    </row>
    <row r="192" ht="54.75" customHeight="1" spans="2:17">
      <c r="B192" s="57" t="s">
        <v>894</v>
      </c>
      <c r="C192" s="59" t="s">
        <v>183</v>
      </c>
      <c r="D192" s="82" t="s">
        <v>59</v>
      </c>
      <c r="E192" s="56" t="s">
        <v>46</v>
      </c>
      <c r="F192" s="73" t="s">
        <v>821</v>
      </c>
      <c r="G192" s="57"/>
      <c r="H192" s="56" t="s">
        <v>59</v>
      </c>
      <c r="L192" s="57" t="s">
        <v>894</v>
      </c>
      <c r="M192" s="57" t="s">
        <v>895</v>
      </c>
      <c r="N192" s="57" t="s">
        <v>896</v>
      </c>
      <c r="O192" s="83" t="s">
        <v>883</v>
      </c>
      <c r="P192" s="56" t="s">
        <v>62</v>
      </c>
      <c r="Q192" s="56" t="s">
        <v>824</v>
      </c>
    </row>
    <row r="193" ht="54.75" customHeight="1" spans="2:17">
      <c r="B193" s="57" t="s">
        <v>897</v>
      </c>
      <c r="C193" s="59" t="s">
        <v>187</v>
      </c>
      <c r="D193" s="82" t="s">
        <v>59</v>
      </c>
      <c r="E193" s="56" t="s">
        <v>25</v>
      </c>
      <c r="F193" s="57" t="s">
        <v>898</v>
      </c>
      <c r="G193" s="57"/>
      <c r="H193" s="56" t="s">
        <v>189</v>
      </c>
      <c r="L193" s="57" t="s">
        <v>897</v>
      </c>
      <c r="M193" s="57" t="s">
        <v>899</v>
      </c>
      <c r="N193" s="57" t="s">
        <v>900</v>
      </c>
      <c r="O193" s="83" t="s">
        <v>901</v>
      </c>
      <c r="P193" s="56" t="s">
        <v>62</v>
      </c>
      <c r="Q193" s="56" t="s">
        <v>902</v>
      </c>
    </row>
    <row r="194" ht="54.75" customHeight="1" spans="2:17">
      <c r="B194" s="57" t="s">
        <v>903</v>
      </c>
      <c r="C194" s="74" t="s">
        <v>194</v>
      </c>
      <c r="D194" s="82" t="s">
        <v>59</v>
      </c>
      <c r="E194" s="56" t="s">
        <v>24</v>
      </c>
      <c r="F194" s="56" t="s">
        <v>904</v>
      </c>
      <c r="G194" s="57"/>
      <c r="H194" s="56" t="s">
        <v>189</v>
      </c>
      <c r="L194" s="57" t="s">
        <v>903</v>
      </c>
      <c r="M194" s="57" t="s">
        <v>905</v>
      </c>
      <c r="N194" s="57" t="s">
        <v>906</v>
      </c>
      <c r="O194" s="83" t="s">
        <v>901</v>
      </c>
      <c r="P194" s="56" t="s">
        <v>62</v>
      </c>
      <c r="Q194" s="56" t="s">
        <v>870</v>
      </c>
    </row>
    <row r="195" ht="54.75" customHeight="1" spans="2:17">
      <c r="B195" s="57" t="s">
        <v>907</v>
      </c>
      <c r="C195" s="74" t="s">
        <v>199</v>
      </c>
      <c r="D195" s="82" t="s">
        <v>59</v>
      </c>
      <c r="E195" s="56" t="s">
        <v>37</v>
      </c>
      <c r="F195" s="73" t="s">
        <v>908</v>
      </c>
      <c r="G195" s="57"/>
      <c r="H195" s="56" t="s">
        <v>189</v>
      </c>
      <c r="L195" s="57" t="s">
        <v>907</v>
      </c>
      <c r="M195" s="57" t="s">
        <v>909</v>
      </c>
      <c r="N195" s="57" t="s">
        <v>910</v>
      </c>
      <c r="O195" s="83" t="s">
        <v>901</v>
      </c>
      <c r="P195" s="56" t="s">
        <v>62</v>
      </c>
      <c r="Q195" s="56" t="s">
        <v>911</v>
      </c>
    </row>
    <row r="196" ht="54.75" customHeight="1" spans="2:17">
      <c r="B196" s="57" t="s">
        <v>912</v>
      </c>
      <c r="C196" s="59" t="s">
        <v>204</v>
      </c>
      <c r="D196" s="82" t="s">
        <v>59</v>
      </c>
      <c r="E196" s="56" t="s">
        <v>46</v>
      </c>
      <c r="F196" s="73" t="s">
        <v>821</v>
      </c>
      <c r="G196" s="57"/>
      <c r="H196" s="56" t="s">
        <v>189</v>
      </c>
      <c r="L196" s="57" t="s">
        <v>912</v>
      </c>
      <c r="M196" s="57" t="s">
        <v>913</v>
      </c>
      <c r="N196" s="57" t="s">
        <v>914</v>
      </c>
      <c r="O196" s="83" t="s">
        <v>901</v>
      </c>
      <c r="P196" s="56" t="s">
        <v>62</v>
      </c>
      <c r="Q196" s="56" t="s">
        <v>824</v>
      </c>
    </row>
    <row r="197" ht="54.75" customHeight="1" spans="2:17">
      <c r="B197" s="57" t="s">
        <v>915</v>
      </c>
      <c r="C197" s="59" t="s">
        <v>208</v>
      </c>
      <c r="D197" s="82" t="s">
        <v>59</v>
      </c>
      <c r="E197" s="56" t="s">
        <v>25</v>
      </c>
      <c r="F197" s="57" t="s">
        <v>916</v>
      </c>
      <c r="G197" s="57"/>
      <c r="H197" s="56" t="s">
        <v>210</v>
      </c>
      <c r="L197" s="57" t="s">
        <v>915</v>
      </c>
      <c r="M197" s="57" t="s">
        <v>917</v>
      </c>
      <c r="N197" s="57" t="s">
        <v>918</v>
      </c>
      <c r="O197" s="83" t="s">
        <v>919</v>
      </c>
      <c r="P197" s="56" t="s">
        <v>62</v>
      </c>
      <c r="Q197" s="56" t="s">
        <v>920</v>
      </c>
    </row>
    <row r="198" ht="54.75" customHeight="1" spans="2:17">
      <c r="B198" s="57" t="s">
        <v>921</v>
      </c>
      <c r="C198" s="59" t="s">
        <v>216</v>
      </c>
      <c r="D198" s="82" t="s">
        <v>59</v>
      </c>
      <c r="E198" s="56" t="s">
        <v>24</v>
      </c>
      <c r="F198" s="56" t="s">
        <v>904</v>
      </c>
      <c r="G198" s="57"/>
      <c r="H198" s="56" t="s">
        <v>210</v>
      </c>
      <c r="L198" s="57" t="s">
        <v>921</v>
      </c>
      <c r="M198" s="57" t="s">
        <v>922</v>
      </c>
      <c r="N198" s="57" t="s">
        <v>923</v>
      </c>
      <c r="O198" s="83" t="s">
        <v>919</v>
      </c>
      <c r="P198" s="56" t="s">
        <v>62</v>
      </c>
      <c r="Q198" s="56" t="s">
        <v>870</v>
      </c>
    </row>
    <row r="199" ht="54.75" customHeight="1" spans="2:17">
      <c r="B199" s="57" t="s">
        <v>924</v>
      </c>
      <c r="C199" s="74" t="s">
        <v>220</v>
      </c>
      <c r="D199" s="82" t="s">
        <v>59</v>
      </c>
      <c r="E199" s="56" t="s">
        <v>37</v>
      </c>
      <c r="F199" s="73" t="s">
        <v>925</v>
      </c>
      <c r="G199" s="57"/>
      <c r="H199" s="56" t="s">
        <v>210</v>
      </c>
      <c r="L199" s="57" t="s">
        <v>924</v>
      </c>
      <c r="M199" s="57" t="s">
        <v>926</v>
      </c>
      <c r="N199" s="57" t="s">
        <v>927</v>
      </c>
      <c r="O199" s="83" t="s">
        <v>919</v>
      </c>
      <c r="P199" s="56" t="s">
        <v>62</v>
      </c>
      <c r="Q199" s="56" t="s">
        <v>928</v>
      </c>
    </row>
    <row r="200" ht="54.75" customHeight="1" spans="2:17">
      <c r="B200" s="57" t="s">
        <v>929</v>
      </c>
      <c r="C200" s="59" t="s">
        <v>226</v>
      </c>
      <c r="D200" s="82" t="s">
        <v>59</v>
      </c>
      <c r="E200" s="56" t="s">
        <v>46</v>
      </c>
      <c r="F200" s="73" t="s">
        <v>821</v>
      </c>
      <c r="G200" s="57"/>
      <c r="H200" s="56" t="s">
        <v>210</v>
      </c>
      <c r="L200" s="57" t="s">
        <v>929</v>
      </c>
      <c r="M200" s="57" t="s">
        <v>930</v>
      </c>
      <c r="N200" s="57" t="s">
        <v>931</v>
      </c>
      <c r="O200" s="83" t="s">
        <v>919</v>
      </c>
      <c r="P200" s="56" t="s">
        <v>62</v>
      </c>
      <c r="Q200" s="56" t="s">
        <v>824</v>
      </c>
    </row>
    <row r="201" ht="54.75" customHeight="1" spans="2:17">
      <c r="B201" s="57" t="s">
        <v>932</v>
      </c>
      <c r="C201" s="59" t="s">
        <v>230</v>
      </c>
      <c r="D201" s="82" t="s">
        <v>59</v>
      </c>
      <c r="E201" s="56" t="s">
        <v>25</v>
      </c>
      <c r="F201" s="57" t="s">
        <v>933</v>
      </c>
      <c r="G201" s="57"/>
      <c r="H201" s="56" t="s">
        <v>232</v>
      </c>
      <c r="L201" s="57" t="s">
        <v>932</v>
      </c>
      <c r="M201" s="57" t="s">
        <v>934</v>
      </c>
      <c r="N201" s="57" t="s">
        <v>935</v>
      </c>
      <c r="O201" s="83" t="s">
        <v>936</v>
      </c>
      <c r="P201" s="56" t="s">
        <v>62</v>
      </c>
      <c r="Q201" s="56" t="s">
        <v>888</v>
      </c>
    </row>
    <row r="202" ht="54.75" customHeight="1" spans="2:17">
      <c r="B202" s="57" t="s">
        <v>937</v>
      </c>
      <c r="C202" s="59" t="s">
        <v>237</v>
      </c>
      <c r="D202" s="82" t="s">
        <v>59</v>
      </c>
      <c r="E202" s="56" t="s">
        <v>24</v>
      </c>
      <c r="F202" s="56" t="s">
        <v>938</v>
      </c>
      <c r="G202" s="57"/>
      <c r="H202" s="56" t="s">
        <v>232</v>
      </c>
      <c r="L202" s="57" t="s">
        <v>937</v>
      </c>
      <c r="M202" s="57" t="s">
        <v>939</v>
      </c>
      <c r="N202" s="57" t="s">
        <v>940</v>
      </c>
      <c r="O202" s="83" t="s">
        <v>936</v>
      </c>
      <c r="P202" s="56" t="s">
        <v>62</v>
      </c>
      <c r="Q202" s="56" t="s">
        <v>57</v>
      </c>
    </row>
    <row r="203" ht="54.75" customHeight="1" spans="2:17">
      <c r="B203" s="57" t="s">
        <v>941</v>
      </c>
      <c r="C203" s="59" t="s">
        <v>243</v>
      </c>
      <c r="D203" s="82" t="s">
        <v>59</v>
      </c>
      <c r="E203" s="56" t="s">
        <v>37</v>
      </c>
      <c r="F203" s="73" t="s">
        <v>942</v>
      </c>
      <c r="G203" s="57"/>
      <c r="H203" s="56" t="s">
        <v>232</v>
      </c>
      <c r="L203" s="57" t="s">
        <v>941</v>
      </c>
      <c r="M203" s="57" t="s">
        <v>943</v>
      </c>
      <c r="N203" s="57" t="s">
        <v>944</v>
      </c>
      <c r="O203" s="83" t="s">
        <v>936</v>
      </c>
      <c r="P203" s="56" t="s">
        <v>62</v>
      </c>
      <c r="Q203" s="56" t="s">
        <v>945</v>
      </c>
    </row>
    <row r="204" ht="54.75" customHeight="1" spans="2:17">
      <c r="B204" s="57" t="s">
        <v>946</v>
      </c>
      <c r="C204" s="59" t="s">
        <v>249</v>
      </c>
      <c r="D204" s="82" t="s">
        <v>59</v>
      </c>
      <c r="E204" s="56" t="s">
        <v>46</v>
      </c>
      <c r="F204" s="73" t="s">
        <v>821</v>
      </c>
      <c r="G204" s="57"/>
      <c r="H204" s="56" t="s">
        <v>232</v>
      </c>
      <c r="L204" s="57" t="s">
        <v>946</v>
      </c>
      <c r="M204" s="57" t="s">
        <v>947</v>
      </c>
      <c r="N204" s="57" t="s">
        <v>948</v>
      </c>
      <c r="O204" s="83" t="s">
        <v>936</v>
      </c>
      <c r="P204" s="56" t="s">
        <v>62</v>
      </c>
      <c r="Q204" s="56" t="s">
        <v>824</v>
      </c>
    </row>
    <row r="205" ht="54.75" customHeight="1" spans="2:17">
      <c r="B205" s="57" t="s">
        <v>949</v>
      </c>
      <c r="C205" s="59" t="s">
        <v>253</v>
      </c>
      <c r="D205" s="82" t="s">
        <v>59</v>
      </c>
      <c r="E205" s="56" t="s">
        <v>25</v>
      </c>
      <c r="F205" s="57" t="s">
        <v>898</v>
      </c>
      <c r="G205" s="57"/>
      <c r="H205" s="56" t="s">
        <v>254</v>
      </c>
      <c r="L205" s="57" t="s">
        <v>949</v>
      </c>
      <c r="M205" s="57" t="s">
        <v>950</v>
      </c>
      <c r="N205" s="57" t="s">
        <v>951</v>
      </c>
      <c r="O205" s="83" t="s">
        <v>952</v>
      </c>
      <c r="P205" s="56" t="s">
        <v>62</v>
      </c>
      <c r="Q205" s="56" t="s">
        <v>902</v>
      </c>
    </row>
    <row r="206" ht="54.75" customHeight="1" spans="2:17">
      <c r="B206" s="57" t="s">
        <v>953</v>
      </c>
      <c r="C206" s="59" t="s">
        <v>259</v>
      </c>
      <c r="D206" s="82" t="s">
        <v>59</v>
      </c>
      <c r="E206" s="56" t="s">
        <v>24</v>
      </c>
      <c r="F206" s="56" t="s">
        <v>954</v>
      </c>
      <c r="G206" s="57"/>
      <c r="H206" s="56" t="s">
        <v>254</v>
      </c>
      <c r="L206" s="57" t="s">
        <v>953</v>
      </c>
      <c r="M206" s="57" t="s">
        <v>955</v>
      </c>
      <c r="N206" s="57" t="s">
        <v>956</v>
      </c>
      <c r="O206" s="83" t="s">
        <v>952</v>
      </c>
      <c r="P206" s="56" t="s">
        <v>62</v>
      </c>
      <c r="Q206" s="56" t="s">
        <v>71</v>
      </c>
    </row>
    <row r="207" ht="54.75" customHeight="1" spans="2:17">
      <c r="B207" s="57" t="s">
        <v>957</v>
      </c>
      <c r="C207" s="59" t="s">
        <v>265</v>
      </c>
      <c r="D207" s="82" t="s">
        <v>59</v>
      </c>
      <c r="E207" s="56" t="s">
        <v>37</v>
      </c>
      <c r="F207" s="73" t="s">
        <v>958</v>
      </c>
      <c r="G207" s="57"/>
      <c r="H207" s="56" t="s">
        <v>254</v>
      </c>
      <c r="L207" s="57" t="s">
        <v>957</v>
      </c>
      <c r="M207" s="57" t="s">
        <v>959</v>
      </c>
      <c r="N207" s="57" t="s">
        <v>960</v>
      </c>
      <c r="O207" s="83" t="s">
        <v>952</v>
      </c>
      <c r="P207" s="56" t="s">
        <v>62</v>
      </c>
      <c r="Q207" s="56" t="s">
        <v>961</v>
      </c>
    </row>
    <row r="208" ht="54.75" customHeight="1" spans="2:17">
      <c r="B208" s="57" t="s">
        <v>962</v>
      </c>
      <c r="C208" s="59" t="s">
        <v>271</v>
      </c>
      <c r="D208" s="82" t="s">
        <v>59</v>
      </c>
      <c r="E208" s="56" t="s">
        <v>46</v>
      </c>
      <c r="F208" s="73" t="s">
        <v>821</v>
      </c>
      <c r="G208" s="57"/>
      <c r="H208" s="56" t="s">
        <v>254</v>
      </c>
      <c r="L208" s="57" t="s">
        <v>962</v>
      </c>
      <c r="M208" s="57" t="s">
        <v>963</v>
      </c>
      <c r="N208" s="57" t="s">
        <v>964</v>
      </c>
      <c r="O208" s="83" t="s">
        <v>952</v>
      </c>
      <c r="P208" s="56" t="s">
        <v>62</v>
      </c>
      <c r="Q208" s="56" t="s">
        <v>824</v>
      </c>
    </row>
    <row r="209" ht="54.75" customHeight="1" spans="2:17">
      <c r="B209" s="57" t="s">
        <v>965</v>
      </c>
      <c r="C209" s="59" t="s">
        <v>275</v>
      </c>
      <c r="D209" s="82" t="s">
        <v>59</v>
      </c>
      <c r="E209" s="56" t="s">
        <v>25</v>
      </c>
      <c r="F209" s="57" t="s">
        <v>966</v>
      </c>
      <c r="G209" s="57"/>
      <c r="H209" s="56" t="s">
        <v>276</v>
      </c>
      <c r="L209" s="57" t="s">
        <v>965</v>
      </c>
      <c r="M209" s="57" t="s">
        <v>967</v>
      </c>
      <c r="N209" s="57" t="s">
        <v>968</v>
      </c>
      <c r="O209" s="83" t="s">
        <v>969</v>
      </c>
      <c r="P209" s="56" t="s">
        <v>62</v>
      </c>
      <c r="Q209" s="56" t="s">
        <v>970</v>
      </c>
    </row>
    <row r="210" ht="54.75" customHeight="1" spans="2:17">
      <c r="B210" s="57" t="s">
        <v>971</v>
      </c>
      <c r="C210" s="59" t="s">
        <v>281</v>
      </c>
      <c r="D210" s="82" t="s">
        <v>59</v>
      </c>
      <c r="E210" s="56" t="s">
        <v>24</v>
      </c>
      <c r="F210" s="56" t="s">
        <v>904</v>
      </c>
      <c r="G210" s="57"/>
      <c r="H210" s="56" t="s">
        <v>276</v>
      </c>
      <c r="L210" s="57" t="s">
        <v>971</v>
      </c>
      <c r="M210" s="57" t="s">
        <v>972</v>
      </c>
      <c r="N210" s="57" t="s">
        <v>973</v>
      </c>
      <c r="O210" s="83" t="s">
        <v>969</v>
      </c>
      <c r="P210" s="56" t="s">
        <v>62</v>
      </c>
      <c r="Q210" s="56" t="s">
        <v>870</v>
      </c>
    </row>
    <row r="211" ht="409.5" spans="2:17">
      <c r="B211" s="57" t="s">
        <v>974</v>
      </c>
      <c r="C211" s="59" t="s">
        <v>285</v>
      </c>
      <c r="D211" s="82" t="s">
        <v>59</v>
      </c>
      <c r="E211" s="56" t="s">
        <v>37</v>
      </c>
      <c r="F211" s="73" t="s">
        <v>908</v>
      </c>
      <c r="G211" s="57"/>
      <c r="H211" s="56" t="s">
        <v>276</v>
      </c>
      <c r="L211" s="57" t="s">
        <v>974</v>
      </c>
      <c r="M211" s="57" t="s">
        <v>975</v>
      </c>
      <c r="N211" s="57" t="s">
        <v>976</v>
      </c>
      <c r="O211" s="83" t="s">
        <v>969</v>
      </c>
      <c r="P211" s="56" t="s">
        <v>62</v>
      </c>
      <c r="Q211" s="56" t="s">
        <v>911</v>
      </c>
    </row>
    <row r="212" ht="297" customHeight="1" spans="2:17">
      <c r="B212" s="57" t="s">
        <v>977</v>
      </c>
      <c r="C212" s="59" t="s">
        <v>289</v>
      </c>
      <c r="D212" s="82" t="s">
        <v>59</v>
      </c>
      <c r="E212" s="56" t="s">
        <v>46</v>
      </c>
      <c r="F212" s="73" t="s">
        <v>821</v>
      </c>
      <c r="G212" s="57"/>
      <c r="H212" s="56" t="s">
        <v>276</v>
      </c>
      <c r="L212" s="57" t="s">
        <v>977</v>
      </c>
      <c r="M212" s="57" t="s">
        <v>978</v>
      </c>
      <c r="N212" s="57" t="s">
        <v>979</v>
      </c>
      <c r="O212" s="83" t="s">
        <v>969</v>
      </c>
      <c r="P212" s="56" t="s">
        <v>62</v>
      </c>
      <c r="Q212" s="56" t="s">
        <v>824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36"/>
  <sheetViews>
    <sheetView topLeftCell="BH18" workbookViewId="0">
      <selection activeCell="M30" sqref="M30:P30"/>
    </sheetView>
  </sheetViews>
  <sheetFormatPr defaultColWidth="9" defaultRowHeight="13.5"/>
  <sheetData>
    <row r="1" spans="1:160">
      <c r="A1" s="37" t="s">
        <v>980</v>
      </c>
      <c r="E1" s="37" t="s">
        <v>981</v>
      </c>
      <c r="I1" s="38" t="s">
        <v>982</v>
      </c>
      <c r="M1" s="38" t="s">
        <v>983</v>
      </c>
      <c r="Q1" s="37" t="s">
        <v>984</v>
      </c>
      <c r="U1" s="39" t="s">
        <v>985</v>
      </c>
      <c r="Y1" s="39" t="s">
        <v>986</v>
      </c>
      <c r="AC1" s="40" t="s">
        <v>987</v>
      </c>
      <c r="AG1" s="40" t="s">
        <v>988</v>
      </c>
      <c r="AK1" s="40" t="s">
        <v>989</v>
      </c>
      <c r="AO1" s="40" t="s">
        <v>990</v>
      </c>
      <c r="AS1" s="40" t="s">
        <v>991</v>
      </c>
      <c r="AW1" s="39" t="s">
        <v>992</v>
      </c>
      <c r="BA1" s="39" t="s">
        <v>993</v>
      </c>
      <c r="BE1" s="39" t="s">
        <v>994</v>
      </c>
      <c r="BI1" s="40" t="s">
        <v>995</v>
      </c>
      <c r="BM1" s="40" t="s">
        <v>996</v>
      </c>
      <c r="BQ1" s="40" t="s">
        <v>997</v>
      </c>
      <c r="BU1" s="40" t="s">
        <v>998</v>
      </c>
      <c r="BY1" s="40" t="s">
        <v>999</v>
      </c>
      <c r="CC1" s="39" t="s">
        <v>1000</v>
      </c>
      <c r="CG1" s="39" t="s">
        <v>1001</v>
      </c>
      <c r="CK1" s="39" t="s">
        <v>1002</v>
      </c>
      <c r="CO1" s="40" t="s">
        <v>1003</v>
      </c>
      <c r="CS1" s="40" t="s">
        <v>1004</v>
      </c>
      <c r="CW1" s="40" t="s">
        <v>1005</v>
      </c>
      <c r="DA1" s="40" t="s">
        <v>1006</v>
      </c>
      <c r="DE1" s="40" t="s">
        <v>1007</v>
      </c>
      <c r="DI1" s="40" t="s">
        <v>1008</v>
      </c>
      <c r="DM1" s="40" t="s">
        <v>1009</v>
      </c>
      <c r="DQ1" s="40" t="s">
        <v>1010</v>
      </c>
      <c r="DU1" s="40" t="s">
        <v>1011</v>
      </c>
      <c r="DY1" s="40" t="s">
        <v>1012</v>
      </c>
      <c r="EC1" s="40" t="s">
        <v>1013</v>
      </c>
      <c r="EG1" s="40" t="s">
        <v>1014</v>
      </c>
      <c r="EK1" s="40" t="s">
        <v>1015</v>
      </c>
      <c r="EO1" s="40" t="s">
        <v>1016</v>
      </c>
      <c r="ES1" s="40" t="s">
        <v>1017</v>
      </c>
      <c r="EW1" s="40" t="s">
        <v>1018</v>
      </c>
      <c r="FA1" s="40" t="s">
        <v>1019</v>
      </c>
    </row>
    <row r="2" ht="27" customHeight="1" spans="1:160">
      <c r="B2" s="41" t="s">
        <v>1020</v>
      </c>
      <c r="C2" s="41" t="s">
        <v>1021</v>
      </c>
      <c r="D2" s="42" t="s">
        <v>1022</v>
      </c>
      <c r="F2" s="41" t="s">
        <v>1020</v>
      </c>
      <c r="G2" s="41" t="s">
        <v>1021</v>
      </c>
      <c r="H2" s="42" t="s">
        <v>1023</v>
      </c>
      <c r="J2" s="41" t="s">
        <v>1020</v>
      </c>
      <c r="K2" s="41" t="s">
        <v>1021</v>
      </c>
      <c r="L2" s="42" t="s">
        <v>1023</v>
      </c>
      <c r="N2" s="41" t="s">
        <v>1020</v>
      </c>
      <c r="O2" s="41" t="s">
        <v>1021</v>
      </c>
      <c r="P2" s="42" t="s">
        <v>1023</v>
      </c>
      <c r="R2" s="41" t="s">
        <v>1020</v>
      </c>
      <c r="S2" s="41" t="s">
        <v>1021</v>
      </c>
      <c r="T2" s="42" t="s">
        <v>1022</v>
      </c>
      <c r="V2" s="41" t="s">
        <v>1020</v>
      </c>
      <c r="W2" s="41" t="s">
        <v>1021</v>
      </c>
      <c r="X2" s="42" t="s">
        <v>1023</v>
      </c>
      <c r="Z2" s="41" t="s">
        <v>1020</v>
      </c>
      <c r="AA2" s="41" t="s">
        <v>1021</v>
      </c>
      <c r="AB2" s="42" t="s">
        <v>1023</v>
      </c>
      <c r="AD2" s="41" t="s">
        <v>1020</v>
      </c>
      <c r="AE2" s="41" t="s">
        <v>1021</v>
      </c>
      <c r="AF2" s="42" t="s">
        <v>1023</v>
      </c>
      <c r="AH2" s="41" t="s">
        <v>1020</v>
      </c>
      <c r="AI2" s="41" t="s">
        <v>1021</v>
      </c>
      <c r="AJ2" s="42" t="s">
        <v>1023</v>
      </c>
      <c r="AL2" s="41" t="s">
        <v>1020</v>
      </c>
      <c r="AM2" s="41" t="s">
        <v>1021</v>
      </c>
      <c r="AN2" s="42" t="s">
        <v>1023</v>
      </c>
      <c r="AP2" s="41" t="s">
        <v>1020</v>
      </c>
      <c r="AQ2" s="41" t="s">
        <v>1021</v>
      </c>
      <c r="AR2" s="42" t="s">
        <v>1023</v>
      </c>
      <c r="AT2" s="41" t="s">
        <v>1020</v>
      </c>
      <c r="AU2" s="41" t="s">
        <v>1021</v>
      </c>
      <c r="AV2" s="42" t="s">
        <v>1023</v>
      </c>
      <c r="AX2" s="41" t="s">
        <v>1020</v>
      </c>
      <c r="AY2" s="41" t="s">
        <v>1021</v>
      </c>
      <c r="AZ2" s="42" t="s">
        <v>1023</v>
      </c>
      <c r="BB2" s="41" t="s">
        <v>1020</v>
      </c>
      <c r="BC2" s="41" t="s">
        <v>1021</v>
      </c>
      <c r="BD2" s="42" t="s">
        <v>1023</v>
      </c>
      <c r="BF2" s="41" t="s">
        <v>1020</v>
      </c>
      <c r="BG2" s="41" t="s">
        <v>1021</v>
      </c>
      <c r="BH2" s="42" t="s">
        <v>1023</v>
      </c>
      <c r="BJ2" s="41" t="s">
        <v>1020</v>
      </c>
      <c r="BK2" s="41" t="s">
        <v>1021</v>
      </c>
      <c r="BL2" s="42" t="s">
        <v>1023</v>
      </c>
      <c r="BN2" s="41" t="s">
        <v>1020</v>
      </c>
      <c r="BO2" s="41" t="s">
        <v>1021</v>
      </c>
      <c r="BP2" s="42" t="s">
        <v>1023</v>
      </c>
      <c r="BR2" s="41" t="s">
        <v>1020</v>
      </c>
      <c r="BS2" s="41" t="s">
        <v>1021</v>
      </c>
      <c r="BT2" s="42" t="s">
        <v>1023</v>
      </c>
      <c r="BV2" s="41" t="s">
        <v>1020</v>
      </c>
      <c r="BW2" s="41" t="s">
        <v>1021</v>
      </c>
      <c r="BX2" s="42" t="s">
        <v>1023</v>
      </c>
      <c r="BZ2" s="41" t="s">
        <v>1020</v>
      </c>
      <c r="CA2" s="41" t="s">
        <v>1021</v>
      </c>
      <c r="CB2" s="42" t="s">
        <v>1023</v>
      </c>
      <c r="CD2" s="41" t="s">
        <v>1020</v>
      </c>
      <c r="CE2" s="41" t="s">
        <v>1021</v>
      </c>
      <c r="CF2" s="42" t="s">
        <v>1022</v>
      </c>
      <c r="CH2" s="41" t="s">
        <v>1020</v>
      </c>
      <c r="CI2" s="41" t="s">
        <v>1021</v>
      </c>
      <c r="CJ2" s="42" t="s">
        <v>1022</v>
      </c>
      <c r="CL2" s="41" t="s">
        <v>1020</v>
      </c>
      <c r="CM2" s="41" t="s">
        <v>1021</v>
      </c>
      <c r="CN2" s="42" t="s">
        <v>1022</v>
      </c>
      <c r="CP2" s="41" t="s">
        <v>1020</v>
      </c>
      <c r="CQ2" s="41" t="s">
        <v>1021</v>
      </c>
      <c r="CR2" s="42" t="s">
        <v>1023</v>
      </c>
      <c r="CT2" s="41" t="s">
        <v>1020</v>
      </c>
      <c r="CU2" s="41" t="s">
        <v>1021</v>
      </c>
      <c r="CV2" s="42" t="s">
        <v>1023</v>
      </c>
      <c r="CX2" s="41" t="s">
        <v>1020</v>
      </c>
      <c r="CY2" s="41" t="s">
        <v>1021</v>
      </c>
      <c r="CZ2" s="42" t="s">
        <v>1023</v>
      </c>
      <c r="DB2" s="41" t="s">
        <v>1020</v>
      </c>
      <c r="DC2" s="41" t="s">
        <v>1021</v>
      </c>
      <c r="DD2" s="42" t="s">
        <v>1023</v>
      </c>
      <c r="DF2" s="41" t="s">
        <v>1020</v>
      </c>
      <c r="DG2" s="41" t="s">
        <v>1021</v>
      </c>
      <c r="DH2" s="42" t="s">
        <v>1023</v>
      </c>
      <c r="DJ2" s="41" t="s">
        <v>1020</v>
      </c>
      <c r="DK2" s="41" t="s">
        <v>1021</v>
      </c>
      <c r="DL2" s="42" t="s">
        <v>1023</v>
      </c>
      <c r="DN2" s="41" t="s">
        <v>1020</v>
      </c>
      <c r="DO2" s="41" t="s">
        <v>1021</v>
      </c>
      <c r="DP2" s="42" t="s">
        <v>1023</v>
      </c>
      <c r="DR2" s="41" t="s">
        <v>1020</v>
      </c>
      <c r="DS2" s="41" t="s">
        <v>1021</v>
      </c>
      <c r="DT2" s="42" t="s">
        <v>1023</v>
      </c>
      <c r="DV2" s="41" t="s">
        <v>1020</v>
      </c>
      <c r="DW2" s="41" t="s">
        <v>1021</v>
      </c>
      <c r="DX2" s="42" t="s">
        <v>1023</v>
      </c>
      <c r="DZ2" s="41" t="s">
        <v>1020</v>
      </c>
      <c r="EA2" s="41" t="s">
        <v>1021</v>
      </c>
      <c r="EB2" s="42" t="s">
        <v>1022</v>
      </c>
      <c r="ED2" s="41" t="s">
        <v>1020</v>
      </c>
      <c r="EE2" s="41" t="s">
        <v>1021</v>
      </c>
      <c r="EF2" s="42" t="s">
        <v>1022</v>
      </c>
      <c r="EH2" s="41" t="s">
        <v>1020</v>
      </c>
      <c r="EI2" s="41" t="s">
        <v>1021</v>
      </c>
      <c r="EJ2" s="42" t="s">
        <v>1022</v>
      </c>
      <c r="EL2" s="41" t="s">
        <v>1020</v>
      </c>
      <c r="EM2" s="41" t="s">
        <v>1021</v>
      </c>
      <c r="EN2" s="42" t="s">
        <v>1023</v>
      </c>
      <c r="EP2" s="41" t="s">
        <v>1020</v>
      </c>
      <c r="EQ2" s="41" t="s">
        <v>1021</v>
      </c>
      <c r="ER2" s="42" t="s">
        <v>1023</v>
      </c>
      <c r="ET2" s="41" t="s">
        <v>1020</v>
      </c>
      <c r="EU2" s="41" t="s">
        <v>1021</v>
      </c>
      <c r="EV2" s="42" t="s">
        <v>1023</v>
      </c>
      <c r="EX2" s="41" t="s">
        <v>1020</v>
      </c>
      <c r="EY2" s="41" t="s">
        <v>1021</v>
      </c>
      <c r="EZ2" s="42" t="s">
        <v>1023</v>
      </c>
      <c r="FB2" s="41" t="s">
        <v>1020</v>
      </c>
      <c r="FC2" s="41" t="s">
        <v>1021</v>
      </c>
      <c r="FD2" s="42" t="s">
        <v>1023</v>
      </c>
    </row>
    <row r="3" spans="1:160">
      <c r="A3">
        <v>1</v>
      </c>
      <c r="B3">
        <v>869</v>
      </c>
      <c r="C3" s="43">
        <f>ROUND(B3*0.15,0)</f>
        <v>130</v>
      </c>
      <c r="D3" s="43">
        <f t="shared" ref="D3:D27" si="0">B3+(A3-1)*C3</f>
        <v>869</v>
      </c>
      <c r="E3">
        <v>1</v>
      </c>
      <c r="F3">
        <v>605</v>
      </c>
      <c r="G3" s="43">
        <f>ROUND(F3*0.15,0)</f>
        <v>91</v>
      </c>
      <c r="H3" s="43">
        <f t="shared" ref="H3:H27" si="1">F3+(E3-1)*G3</f>
        <v>605</v>
      </c>
      <c r="I3" s="43">
        <v>1</v>
      </c>
      <c r="J3">
        <v>3220</v>
      </c>
      <c r="K3" s="43">
        <f>ROUND(J3*0.15,0)</f>
        <v>483</v>
      </c>
      <c r="L3" s="43">
        <f t="shared" ref="L3:L27" si="2">J3+(I3-1)*K3</f>
        <v>3220</v>
      </c>
      <c r="M3" s="43">
        <v>1</v>
      </c>
      <c r="N3">
        <v>916</v>
      </c>
      <c r="O3" s="43">
        <f>ROUND(N3*0.15,0)</f>
        <v>137</v>
      </c>
      <c r="P3" s="43">
        <f t="shared" ref="P3:P27" si="3">N3+(M3-1)*O3</f>
        <v>916</v>
      </c>
      <c r="Q3">
        <v>1</v>
      </c>
      <c r="R3">
        <v>1125</v>
      </c>
      <c r="S3" s="43">
        <f>ROUND(R3*0.15,0)</f>
        <v>169</v>
      </c>
      <c r="T3" s="43">
        <f t="shared" ref="T3:T27" si="4">R3+(Q3-1)*S3</f>
        <v>1125</v>
      </c>
      <c r="U3">
        <v>1</v>
      </c>
      <c r="V3">
        <v>569</v>
      </c>
      <c r="W3" s="43">
        <f>ROUND(V3*0.15,0)</f>
        <v>85</v>
      </c>
      <c r="X3" s="43">
        <f t="shared" ref="X3:X27" si="5">V3+(U3-1)*W3</f>
        <v>569</v>
      </c>
      <c r="Y3">
        <v>1</v>
      </c>
      <c r="Z3">
        <v>3004</v>
      </c>
      <c r="AA3" s="43">
        <f>ROUND(Z3*0.15,0)</f>
        <v>451</v>
      </c>
      <c r="AB3" s="43">
        <f t="shared" ref="AB3:AB27" si="6">Z3+(Y3-1)*AA3</f>
        <v>3004</v>
      </c>
      <c r="AC3" s="43">
        <v>1</v>
      </c>
      <c r="AD3">
        <v>916</v>
      </c>
      <c r="AE3" s="43">
        <f>ROUND(AD3*0.15,0)</f>
        <v>137</v>
      </c>
      <c r="AF3" s="43">
        <f t="shared" ref="AF3:AF27" si="7">AD3+(AC3-1)*AE3</f>
        <v>916</v>
      </c>
      <c r="AG3" s="43">
        <v>1</v>
      </c>
      <c r="AH3">
        <v>1009</v>
      </c>
      <c r="AI3" s="43">
        <f>ROUND(AH3*0.15,0)</f>
        <v>151</v>
      </c>
      <c r="AJ3" s="43">
        <f t="shared" ref="AJ3:AJ27" si="8">AH3+(AG3-1)*AI3</f>
        <v>1009</v>
      </c>
      <c r="AK3" s="43">
        <v>1</v>
      </c>
      <c r="AL3">
        <v>569</v>
      </c>
      <c r="AM3" s="43">
        <f>ROUND(AL3*0.15,0)</f>
        <v>85</v>
      </c>
      <c r="AN3" s="43">
        <f t="shared" ref="AN3:AN27" si="9">AL3+(AK3-1)*AM3</f>
        <v>569</v>
      </c>
      <c r="AO3" s="43">
        <v>1</v>
      </c>
      <c r="AP3">
        <v>2836</v>
      </c>
      <c r="AQ3" s="43">
        <f>ROUND(AP3*0.15,0)</f>
        <v>425</v>
      </c>
      <c r="AR3" s="43">
        <f t="shared" ref="AR3:AR27" si="10">AP3+(AO3-1)*AQ3</f>
        <v>2836</v>
      </c>
      <c r="AS3" s="43">
        <v>1</v>
      </c>
      <c r="AT3">
        <v>916</v>
      </c>
      <c r="AU3" s="43">
        <f>ROUND(AT3*0.15,0)</f>
        <v>137</v>
      </c>
      <c r="AV3" s="43">
        <f t="shared" ref="AV3:AV27" si="11">AT3+(AS3-1)*AU3</f>
        <v>916</v>
      </c>
      <c r="AW3">
        <v>1</v>
      </c>
      <c r="AX3">
        <v>870</v>
      </c>
      <c r="AY3" s="43">
        <f t="shared" ref="AY3:AY27" si="12">ROUND(AX3*0.15,0)</f>
        <v>131</v>
      </c>
      <c r="AZ3" s="43">
        <f t="shared" ref="AZ3:AZ27" si="13">AX3+(AW3-1)*AY3</f>
        <v>870</v>
      </c>
      <c r="BA3">
        <v>1</v>
      </c>
      <c r="BB3">
        <v>649</v>
      </c>
      <c r="BC3" s="43">
        <f>ROUND(BB3*0.15,0)</f>
        <v>97</v>
      </c>
      <c r="BD3" s="43">
        <f t="shared" ref="BD3:BD27" si="14">BB3+(BA3-1)*BC3</f>
        <v>649</v>
      </c>
      <c r="BE3">
        <v>1</v>
      </c>
      <c r="BF3">
        <v>3269</v>
      </c>
      <c r="BG3" s="43">
        <f>ROUND(BF3*0.15,0)</f>
        <v>490</v>
      </c>
      <c r="BH3" s="43">
        <f t="shared" ref="BH3:BH27" si="15">BF3+(BE3-1)*BG3</f>
        <v>3269</v>
      </c>
      <c r="BI3" s="43">
        <v>1</v>
      </c>
      <c r="BJ3">
        <v>916</v>
      </c>
      <c r="BK3" s="43">
        <f>ROUND(BJ3*0.15,0)</f>
        <v>137</v>
      </c>
      <c r="BL3" s="43">
        <f t="shared" ref="BL3:BL27" si="16">BJ3+(BI3-1)*BK3</f>
        <v>916</v>
      </c>
      <c r="BM3" s="43">
        <v>1</v>
      </c>
      <c r="BN3">
        <v>640</v>
      </c>
      <c r="BO3" s="43">
        <f>ROUND(BN3*0.15,0)</f>
        <v>96</v>
      </c>
      <c r="BP3" s="43">
        <f t="shared" ref="BP3:BP27" si="17">BN3+(BM3-1)*BO3</f>
        <v>640</v>
      </c>
      <c r="BQ3" s="43">
        <v>1</v>
      </c>
      <c r="BR3">
        <v>763</v>
      </c>
      <c r="BS3" s="43">
        <f>ROUND(BR3*0.15,0)</f>
        <v>114</v>
      </c>
      <c r="BT3" s="43">
        <f t="shared" ref="BT3:BT27" si="18">BR3+(BQ3-1)*BS3</f>
        <v>763</v>
      </c>
      <c r="BU3" s="43">
        <v>1</v>
      </c>
      <c r="BV3">
        <v>3865</v>
      </c>
      <c r="BW3" s="43">
        <f>ROUND(BV3*0.15,0)</f>
        <v>580</v>
      </c>
      <c r="BX3" s="43">
        <f t="shared" ref="BX3:BX27" si="19">BV3+(BU3-1)*BW3</f>
        <v>3865</v>
      </c>
      <c r="BY3" s="43">
        <v>1</v>
      </c>
      <c r="BZ3">
        <v>916</v>
      </c>
      <c r="CA3" s="43">
        <f>ROUND(BZ3*0.15,0)</f>
        <v>137</v>
      </c>
      <c r="CB3" s="43">
        <f t="shared" ref="CB3:CB27" si="20">BZ3+(BY3-1)*CA3</f>
        <v>916</v>
      </c>
      <c r="CC3">
        <v>1</v>
      </c>
      <c r="CD3">
        <v>880</v>
      </c>
      <c r="CE3" s="43">
        <f>ROUND(CD3*0.15,0)</f>
        <v>132</v>
      </c>
      <c r="CF3" s="43">
        <f t="shared" ref="CF3:CF27" si="21">CD3+(CC3-1)*CE3</f>
        <v>880</v>
      </c>
      <c r="CG3">
        <v>1</v>
      </c>
      <c r="CH3">
        <v>645</v>
      </c>
      <c r="CI3" s="43">
        <f>ROUND(CH3*0.15,0)</f>
        <v>97</v>
      </c>
      <c r="CJ3" s="43">
        <f t="shared" ref="CJ3:CJ27" si="22">CH3+(CG3-1)*CI3</f>
        <v>645</v>
      </c>
      <c r="CK3">
        <v>1</v>
      </c>
      <c r="CL3">
        <v>3260</v>
      </c>
      <c r="CM3" s="43">
        <f>ROUND(CL3*0.15,0)</f>
        <v>489</v>
      </c>
      <c r="CN3" s="43">
        <f t="shared" ref="CN3:CN27" si="23">CL3+(CK3-1)*CM3</f>
        <v>3260</v>
      </c>
      <c r="CO3" s="43">
        <v>1</v>
      </c>
      <c r="CP3">
        <v>916</v>
      </c>
      <c r="CQ3" s="43">
        <f>ROUND(CP3*0.15,0)</f>
        <v>137</v>
      </c>
      <c r="CR3" s="43">
        <f t="shared" ref="CR3:CR27" si="24">CP3+(CO3-1)*CQ3</f>
        <v>916</v>
      </c>
      <c r="CS3" s="43">
        <v>1</v>
      </c>
      <c r="CT3">
        <v>817</v>
      </c>
      <c r="CU3" s="43">
        <f>ROUND(CT3*0.15,0)</f>
        <v>123</v>
      </c>
      <c r="CV3" s="43">
        <f t="shared" ref="CV3:CV27" si="25">CT3+(CS3-1)*CU3</f>
        <v>817</v>
      </c>
      <c r="CW3" s="43">
        <v>1</v>
      </c>
      <c r="CX3">
        <v>645</v>
      </c>
      <c r="CY3" s="43">
        <f>ROUND(CX3*0.15,0)</f>
        <v>97</v>
      </c>
      <c r="CZ3" s="43">
        <f t="shared" ref="CZ3:CZ27" si="26">CX3+(CW3-1)*CY3</f>
        <v>645</v>
      </c>
      <c r="DA3" s="43">
        <v>1</v>
      </c>
      <c r="DB3">
        <v>3120</v>
      </c>
      <c r="DC3" s="43">
        <f>ROUND(DB3*0.15,0)</f>
        <v>468</v>
      </c>
      <c r="DD3" s="43">
        <f t="shared" ref="DD3:DD27" si="27">DB3+(DA3-1)*DC3</f>
        <v>3120</v>
      </c>
      <c r="DE3" s="43">
        <v>1</v>
      </c>
      <c r="DF3">
        <v>916</v>
      </c>
      <c r="DG3" s="43">
        <f>ROUND(DF3*0.15,0)</f>
        <v>137</v>
      </c>
      <c r="DH3" s="43">
        <f t="shared" ref="DH3:DH27" si="28">DF3+(DE3-1)*DG3</f>
        <v>916</v>
      </c>
      <c r="DI3" s="43">
        <v>1</v>
      </c>
      <c r="DJ3">
        <v>760</v>
      </c>
      <c r="DK3" s="43">
        <f>ROUND(DJ3*0.15,0)</f>
        <v>114</v>
      </c>
      <c r="DL3" s="43">
        <f t="shared" ref="DL3:DL27" si="29">DJ3+(DI3-1)*DK3</f>
        <v>760</v>
      </c>
      <c r="DM3" s="43">
        <v>1</v>
      </c>
      <c r="DN3">
        <v>690</v>
      </c>
      <c r="DO3" s="43">
        <f>ROUND(DN3*0.15,0)</f>
        <v>104</v>
      </c>
      <c r="DP3" s="43">
        <f t="shared" ref="DP3:DP27" si="30">DN3+(DM3-1)*DO3</f>
        <v>690</v>
      </c>
      <c r="DQ3" s="43">
        <v>1</v>
      </c>
      <c r="DR3">
        <v>3930</v>
      </c>
      <c r="DS3" s="43">
        <f>ROUND(DR3*0.15,0)</f>
        <v>590</v>
      </c>
      <c r="DT3" s="43">
        <f t="shared" ref="DT3:DT27" si="31">DR3+(DQ3-1)*DS3</f>
        <v>3930</v>
      </c>
      <c r="DU3" s="43">
        <v>1</v>
      </c>
      <c r="DV3">
        <v>916</v>
      </c>
      <c r="DW3" s="43">
        <f>ROUND(DV3*0.15,0)</f>
        <v>137</v>
      </c>
      <c r="DX3" s="43">
        <f t="shared" ref="DX3:DX27" si="32">DV3+(DU3-1)*DW3</f>
        <v>916</v>
      </c>
      <c r="DY3">
        <v>1</v>
      </c>
      <c r="DZ3">
        <v>880</v>
      </c>
      <c r="EA3" s="43">
        <f>ROUND(DZ3*0.15,0)</f>
        <v>132</v>
      </c>
      <c r="EB3" s="43">
        <f t="shared" ref="EB3:EB27" si="33">DZ3+(DY3-1)*EA3</f>
        <v>880</v>
      </c>
      <c r="EC3">
        <v>1</v>
      </c>
      <c r="ED3">
        <v>720</v>
      </c>
      <c r="EE3" s="43">
        <f>ROUND(ED3*0.15,0)</f>
        <v>108</v>
      </c>
      <c r="EF3" s="43">
        <f t="shared" ref="EF3:EF27" si="34">ED3+(EC3-1)*EE3</f>
        <v>720</v>
      </c>
      <c r="EG3">
        <v>1</v>
      </c>
      <c r="EH3">
        <v>3566</v>
      </c>
      <c r="EI3" s="43">
        <f>ROUND(EH3*0.15,0)</f>
        <v>535</v>
      </c>
      <c r="EJ3" s="43">
        <f t="shared" ref="EJ3:EJ27" si="35">EH3+(EG3-1)*EI3</f>
        <v>3566</v>
      </c>
      <c r="EK3" s="43">
        <v>1</v>
      </c>
      <c r="EL3">
        <v>916</v>
      </c>
      <c r="EM3" s="43">
        <f>ROUND(EL3*0.15,0)</f>
        <v>137</v>
      </c>
      <c r="EN3" s="43">
        <f t="shared" ref="EN3:EN27" si="36">EL3+(EK3-1)*EM3</f>
        <v>916</v>
      </c>
      <c r="EO3" s="43">
        <v>1</v>
      </c>
      <c r="EP3">
        <v>1010</v>
      </c>
      <c r="EQ3" s="43">
        <f>ROUND(EP3*0.15,0)</f>
        <v>152</v>
      </c>
      <c r="ER3" s="43">
        <f t="shared" ref="ER3:ER27" si="37">EP3+(EO3-1)*EQ3</f>
        <v>1010</v>
      </c>
      <c r="ES3" s="43">
        <v>1</v>
      </c>
      <c r="ET3">
        <v>645</v>
      </c>
      <c r="EU3" s="43">
        <f>ROUND(ET3*0.15,0)</f>
        <v>97</v>
      </c>
      <c r="EV3" s="43">
        <f t="shared" ref="EV3:EV27" si="38">ET3+(ES3-1)*EU3</f>
        <v>645</v>
      </c>
      <c r="EW3" s="43">
        <v>1</v>
      </c>
      <c r="EX3">
        <v>3260</v>
      </c>
      <c r="EY3" s="43">
        <f>ROUND(EX3*0.15,0)</f>
        <v>489</v>
      </c>
      <c r="EZ3" s="43">
        <f t="shared" ref="EZ3:EZ27" si="39">EX3+(EW3-1)*EY3</f>
        <v>3260</v>
      </c>
      <c r="FA3" s="43">
        <v>1</v>
      </c>
      <c r="FB3">
        <v>916</v>
      </c>
      <c r="FC3" s="43">
        <f>ROUND(FB3*0.15,0)</f>
        <v>137</v>
      </c>
      <c r="FD3" s="43">
        <f t="shared" ref="FD3:FD27" si="40">FB3+(FA3-1)*FC3</f>
        <v>916</v>
      </c>
    </row>
    <row r="4" spans="1:160">
      <c r="A4">
        <v>2</v>
      </c>
      <c r="B4">
        <f t="shared" ref="B4:B27" si="41">B3</f>
        <v>869</v>
      </c>
      <c r="C4" s="43">
        <f t="shared" ref="C4:C27" si="42">C3</f>
        <v>130</v>
      </c>
      <c r="D4" s="43">
        <f t="shared" si="0"/>
        <v>999</v>
      </c>
      <c r="E4">
        <v>2</v>
      </c>
      <c r="F4">
        <f t="shared" ref="F4:F27" si="43">F3</f>
        <v>605</v>
      </c>
      <c r="G4" s="43">
        <f t="shared" ref="G4:G27" si="44">G3</f>
        <v>91</v>
      </c>
      <c r="H4" s="43">
        <f t="shared" si="1"/>
        <v>696</v>
      </c>
      <c r="I4">
        <v>2</v>
      </c>
      <c r="J4">
        <f t="shared" ref="J4:J27" si="45">J3</f>
        <v>3220</v>
      </c>
      <c r="K4" s="43">
        <f t="shared" ref="K4:K27" si="46">K3</f>
        <v>483</v>
      </c>
      <c r="L4" s="43">
        <f t="shared" si="2"/>
        <v>3703</v>
      </c>
      <c r="M4">
        <v>2</v>
      </c>
      <c r="N4">
        <f t="shared" ref="N4:N27" si="47">N3</f>
        <v>916</v>
      </c>
      <c r="O4" s="43">
        <f t="shared" ref="O4:O27" si="48">O3</f>
        <v>137</v>
      </c>
      <c r="P4" s="43">
        <f t="shared" si="3"/>
        <v>1053</v>
      </c>
      <c r="Q4">
        <v>2</v>
      </c>
      <c r="R4">
        <f t="shared" ref="R4:R27" si="49">R3</f>
        <v>1125</v>
      </c>
      <c r="S4" s="43">
        <f t="shared" ref="S4:S27" si="50">S3</f>
        <v>169</v>
      </c>
      <c r="T4" s="43">
        <f t="shared" si="4"/>
        <v>1294</v>
      </c>
      <c r="U4">
        <v>2</v>
      </c>
      <c r="V4">
        <f t="shared" ref="V4:V27" si="51">V3</f>
        <v>569</v>
      </c>
      <c r="W4" s="43">
        <f t="shared" ref="W4:W27" si="52">W3</f>
        <v>85</v>
      </c>
      <c r="X4" s="43">
        <f t="shared" si="5"/>
        <v>654</v>
      </c>
      <c r="Y4">
        <v>2</v>
      </c>
      <c r="Z4">
        <f t="shared" ref="Z4:Z27" si="53">Z3</f>
        <v>3004</v>
      </c>
      <c r="AA4" s="43">
        <f t="shared" ref="AA4:AA27" si="54">AA3</f>
        <v>451</v>
      </c>
      <c r="AB4" s="43">
        <f t="shared" si="6"/>
        <v>3455</v>
      </c>
      <c r="AC4">
        <v>2</v>
      </c>
      <c r="AD4">
        <f t="shared" ref="AD4:AD27" si="55">AD3</f>
        <v>916</v>
      </c>
      <c r="AE4" s="43">
        <f t="shared" ref="AE4:AE27" si="56">AE3</f>
        <v>137</v>
      </c>
      <c r="AF4" s="43">
        <f t="shared" si="7"/>
        <v>1053</v>
      </c>
      <c r="AG4">
        <v>2</v>
      </c>
      <c r="AH4">
        <f t="shared" ref="AH4:AH27" si="57">AH3</f>
        <v>1009</v>
      </c>
      <c r="AI4" s="43">
        <f t="shared" ref="AI4:AI27" si="58">AI3</f>
        <v>151</v>
      </c>
      <c r="AJ4" s="43">
        <f t="shared" si="8"/>
        <v>1160</v>
      </c>
      <c r="AK4">
        <v>2</v>
      </c>
      <c r="AL4">
        <f t="shared" ref="AL4:AL27" si="59">AL3</f>
        <v>569</v>
      </c>
      <c r="AM4" s="43">
        <f t="shared" ref="AM4:AM27" si="60">AM3</f>
        <v>85</v>
      </c>
      <c r="AN4" s="43">
        <f t="shared" si="9"/>
        <v>654</v>
      </c>
      <c r="AO4">
        <v>2</v>
      </c>
      <c r="AP4">
        <f t="shared" ref="AP4:AP27" si="61">AP3</f>
        <v>2836</v>
      </c>
      <c r="AQ4" s="43">
        <f t="shared" ref="AQ4:AQ27" si="62">AQ3</f>
        <v>425</v>
      </c>
      <c r="AR4" s="43">
        <f t="shared" si="10"/>
        <v>3261</v>
      </c>
      <c r="AS4">
        <v>2</v>
      </c>
      <c r="AT4">
        <f t="shared" ref="AT4:AT27" si="63">AT3</f>
        <v>916</v>
      </c>
      <c r="AU4" s="43">
        <f t="shared" ref="AU4:AU27" si="64">AU3</f>
        <v>137</v>
      </c>
      <c r="AV4" s="43">
        <f t="shared" si="11"/>
        <v>1053</v>
      </c>
      <c r="AW4">
        <v>2</v>
      </c>
      <c r="AX4">
        <f t="shared" ref="AX4:AX27" si="65">AX3</f>
        <v>870</v>
      </c>
      <c r="AY4" s="43">
        <f t="shared" si="12"/>
        <v>131</v>
      </c>
      <c r="AZ4" s="43">
        <f t="shared" si="13"/>
        <v>1001</v>
      </c>
      <c r="BA4">
        <v>2</v>
      </c>
      <c r="BB4">
        <f t="shared" ref="BB4:BB27" si="66">BB3</f>
        <v>649</v>
      </c>
      <c r="BC4" s="43">
        <f t="shared" ref="BC4:BC27" si="67">BC3</f>
        <v>97</v>
      </c>
      <c r="BD4" s="43">
        <f t="shared" si="14"/>
        <v>746</v>
      </c>
      <c r="BE4">
        <v>2</v>
      </c>
      <c r="BF4">
        <f t="shared" ref="BF4:BF27" si="68">BF3</f>
        <v>3269</v>
      </c>
      <c r="BG4" s="43">
        <f t="shared" ref="BG4:BG27" si="69">BG3</f>
        <v>490</v>
      </c>
      <c r="BH4" s="43">
        <f t="shared" si="15"/>
        <v>3759</v>
      </c>
      <c r="BI4">
        <v>2</v>
      </c>
      <c r="BJ4">
        <f t="shared" ref="BJ4:BJ27" si="70">BJ3</f>
        <v>916</v>
      </c>
      <c r="BK4" s="43">
        <f t="shared" ref="BK4:BK27" si="71">BK3</f>
        <v>137</v>
      </c>
      <c r="BL4" s="43">
        <f t="shared" si="16"/>
        <v>1053</v>
      </c>
      <c r="BM4">
        <v>2</v>
      </c>
      <c r="BN4">
        <f t="shared" ref="BN4:BN27" si="72">BN3</f>
        <v>640</v>
      </c>
      <c r="BO4" s="43">
        <f t="shared" ref="BO4:BO27" si="73">BO3</f>
        <v>96</v>
      </c>
      <c r="BP4" s="43">
        <f t="shared" si="17"/>
        <v>736</v>
      </c>
      <c r="BQ4">
        <v>2</v>
      </c>
      <c r="BR4">
        <f t="shared" ref="BR4:BR27" si="74">BR3</f>
        <v>763</v>
      </c>
      <c r="BS4" s="43">
        <f t="shared" ref="BS4:BS27" si="75">BS3</f>
        <v>114</v>
      </c>
      <c r="BT4" s="43">
        <f t="shared" si="18"/>
        <v>877</v>
      </c>
      <c r="BU4">
        <v>2</v>
      </c>
      <c r="BV4">
        <f t="shared" ref="BV4:BV27" si="76">BV3</f>
        <v>3865</v>
      </c>
      <c r="BW4" s="43">
        <f t="shared" ref="BW4:BW27" si="77">BW3</f>
        <v>580</v>
      </c>
      <c r="BX4" s="43">
        <f t="shared" si="19"/>
        <v>4445</v>
      </c>
      <c r="BY4">
        <v>2</v>
      </c>
      <c r="BZ4">
        <f t="shared" ref="BZ4:BZ27" si="78">BZ3</f>
        <v>916</v>
      </c>
      <c r="CA4" s="43">
        <f t="shared" ref="CA4:CA27" si="79">CA3</f>
        <v>137</v>
      </c>
      <c r="CB4" s="43">
        <f t="shared" si="20"/>
        <v>1053</v>
      </c>
      <c r="CC4">
        <v>2</v>
      </c>
      <c r="CD4">
        <f t="shared" ref="CD4:CD27" si="80">CD3</f>
        <v>880</v>
      </c>
      <c r="CE4" s="43">
        <f t="shared" ref="CE4:CE27" si="81">CE3</f>
        <v>132</v>
      </c>
      <c r="CF4" s="43">
        <f t="shared" si="21"/>
        <v>1012</v>
      </c>
      <c r="CG4">
        <v>2</v>
      </c>
      <c r="CH4">
        <f t="shared" ref="CH4:CH27" si="82">CH3</f>
        <v>645</v>
      </c>
      <c r="CI4" s="43">
        <f t="shared" ref="CI4:CI27" si="83">CI3</f>
        <v>97</v>
      </c>
      <c r="CJ4" s="43">
        <f t="shared" si="22"/>
        <v>742</v>
      </c>
      <c r="CK4">
        <v>2</v>
      </c>
      <c r="CL4">
        <f t="shared" ref="CL4:CL27" si="84">CL3</f>
        <v>3260</v>
      </c>
      <c r="CM4" s="43">
        <f t="shared" ref="CM4:CM27" si="85">CM3</f>
        <v>489</v>
      </c>
      <c r="CN4" s="43">
        <f t="shared" si="23"/>
        <v>3749</v>
      </c>
      <c r="CO4">
        <v>2</v>
      </c>
      <c r="CP4">
        <f t="shared" ref="CP4:CP27" si="86">CP3</f>
        <v>916</v>
      </c>
      <c r="CQ4" s="43">
        <f t="shared" ref="CQ4:CQ27" si="87">CQ3</f>
        <v>137</v>
      </c>
      <c r="CR4" s="43">
        <f t="shared" si="24"/>
        <v>1053</v>
      </c>
      <c r="CS4">
        <v>2</v>
      </c>
      <c r="CT4">
        <f t="shared" ref="CT4:CT27" si="88">CT3</f>
        <v>817</v>
      </c>
      <c r="CU4" s="43">
        <f t="shared" ref="CU4:CU27" si="89">CU3</f>
        <v>123</v>
      </c>
      <c r="CV4" s="43">
        <f t="shared" si="25"/>
        <v>940</v>
      </c>
      <c r="CW4">
        <v>2</v>
      </c>
      <c r="CX4">
        <f t="shared" ref="CX4:CX27" si="90">CX3</f>
        <v>645</v>
      </c>
      <c r="CY4" s="43">
        <f t="shared" ref="CY4:CY27" si="91">CY3</f>
        <v>97</v>
      </c>
      <c r="CZ4" s="43">
        <f t="shared" si="26"/>
        <v>742</v>
      </c>
      <c r="DA4">
        <v>2</v>
      </c>
      <c r="DB4">
        <f t="shared" ref="DB4:DB27" si="92">DB3</f>
        <v>3120</v>
      </c>
      <c r="DC4" s="43">
        <f t="shared" ref="DC4:DC27" si="93">DC3</f>
        <v>468</v>
      </c>
      <c r="DD4" s="43">
        <f t="shared" si="27"/>
        <v>3588</v>
      </c>
      <c r="DE4">
        <v>2</v>
      </c>
      <c r="DF4">
        <f t="shared" ref="DF4:DF27" si="94">DF3</f>
        <v>916</v>
      </c>
      <c r="DG4" s="43">
        <f t="shared" ref="DG4:DG27" si="95">DG3</f>
        <v>137</v>
      </c>
      <c r="DH4" s="43">
        <f t="shared" si="28"/>
        <v>1053</v>
      </c>
      <c r="DI4">
        <v>2</v>
      </c>
      <c r="DJ4">
        <f t="shared" ref="DJ4:DJ27" si="96">DJ3</f>
        <v>760</v>
      </c>
      <c r="DK4" s="43">
        <f t="shared" ref="DK4:DK27" si="97">DK3</f>
        <v>114</v>
      </c>
      <c r="DL4" s="43">
        <f t="shared" si="29"/>
        <v>874</v>
      </c>
      <c r="DM4">
        <v>2</v>
      </c>
      <c r="DN4">
        <f t="shared" ref="DN4:DN27" si="98">DN3</f>
        <v>690</v>
      </c>
      <c r="DO4" s="43">
        <f t="shared" ref="DO4:DO27" si="99">DO3</f>
        <v>104</v>
      </c>
      <c r="DP4" s="43">
        <f t="shared" si="30"/>
        <v>794</v>
      </c>
      <c r="DQ4">
        <v>2</v>
      </c>
      <c r="DR4">
        <f t="shared" ref="DR4:DR27" si="100">DR3</f>
        <v>3930</v>
      </c>
      <c r="DS4" s="43">
        <f t="shared" ref="DS4:DS27" si="101">DS3</f>
        <v>590</v>
      </c>
      <c r="DT4" s="43">
        <f t="shared" si="31"/>
        <v>4520</v>
      </c>
      <c r="DU4">
        <v>2</v>
      </c>
      <c r="DV4">
        <f t="shared" ref="DV4:DV27" si="102">DV3</f>
        <v>916</v>
      </c>
      <c r="DW4" s="43">
        <f t="shared" ref="DW4:DW27" si="103">DW3</f>
        <v>137</v>
      </c>
      <c r="DX4" s="43">
        <f t="shared" si="32"/>
        <v>1053</v>
      </c>
      <c r="DY4">
        <v>2</v>
      </c>
      <c r="DZ4">
        <f t="shared" ref="DZ4:DZ27" si="104">DZ3</f>
        <v>880</v>
      </c>
      <c r="EA4" s="43">
        <f t="shared" ref="EA4:EA27" si="105">EA3</f>
        <v>132</v>
      </c>
      <c r="EB4" s="43">
        <f t="shared" si="33"/>
        <v>1012</v>
      </c>
      <c r="EC4">
        <v>2</v>
      </c>
      <c r="ED4">
        <f t="shared" ref="ED4:ED27" si="106">ED3</f>
        <v>720</v>
      </c>
      <c r="EE4" s="43">
        <f t="shared" ref="EE4:EE27" si="107">EE3</f>
        <v>108</v>
      </c>
      <c r="EF4" s="43">
        <f t="shared" si="34"/>
        <v>828</v>
      </c>
      <c r="EG4">
        <v>2</v>
      </c>
      <c r="EH4">
        <f t="shared" ref="EH4:EH27" si="108">EH3</f>
        <v>3566</v>
      </c>
      <c r="EI4" s="43">
        <f t="shared" ref="EI4:EI27" si="109">EI3</f>
        <v>535</v>
      </c>
      <c r="EJ4" s="43">
        <f t="shared" si="35"/>
        <v>4101</v>
      </c>
      <c r="EK4">
        <v>2</v>
      </c>
      <c r="EL4">
        <f t="shared" ref="EL4:EL27" si="110">EL3</f>
        <v>916</v>
      </c>
      <c r="EM4" s="43">
        <f t="shared" ref="EM4:EM27" si="111">EM3</f>
        <v>137</v>
      </c>
      <c r="EN4" s="43">
        <f t="shared" si="36"/>
        <v>1053</v>
      </c>
      <c r="EO4">
        <v>2</v>
      </c>
      <c r="EP4">
        <f t="shared" ref="EP4:EP27" si="112">EP3</f>
        <v>1010</v>
      </c>
      <c r="EQ4" s="43">
        <f t="shared" ref="EQ4:EQ27" si="113">EQ3</f>
        <v>152</v>
      </c>
      <c r="ER4" s="43">
        <f t="shared" si="37"/>
        <v>1162</v>
      </c>
      <c r="ES4">
        <v>2</v>
      </c>
      <c r="ET4">
        <f t="shared" ref="ET4:ET27" si="114">ET3</f>
        <v>645</v>
      </c>
      <c r="EU4" s="43">
        <f t="shared" ref="EU4:EU27" si="115">EU3</f>
        <v>97</v>
      </c>
      <c r="EV4" s="43">
        <f t="shared" si="38"/>
        <v>742</v>
      </c>
      <c r="EW4">
        <v>2</v>
      </c>
      <c r="EX4">
        <f t="shared" ref="EX4:EX27" si="116">EX3</f>
        <v>3260</v>
      </c>
      <c r="EY4" s="43">
        <f t="shared" ref="EY4:EY27" si="117">EY3</f>
        <v>489</v>
      </c>
      <c r="EZ4" s="43">
        <f t="shared" si="39"/>
        <v>3749</v>
      </c>
      <c r="FA4">
        <v>2</v>
      </c>
      <c r="FB4">
        <f t="shared" ref="FB4:FB27" si="118">FB3</f>
        <v>916</v>
      </c>
      <c r="FC4" s="43">
        <f t="shared" ref="FC4:FC27" si="119">FC3</f>
        <v>137</v>
      </c>
      <c r="FD4" s="43">
        <f t="shared" si="40"/>
        <v>1053</v>
      </c>
    </row>
    <row r="5" spans="1:160">
      <c r="A5">
        <v>3</v>
      </c>
      <c r="B5">
        <f t="shared" si="41"/>
        <v>869</v>
      </c>
      <c r="C5" s="43">
        <f t="shared" si="42"/>
        <v>130</v>
      </c>
      <c r="D5" s="43">
        <f t="shared" si="0"/>
        <v>1129</v>
      </c>
      <c r="E5">
        <v>3</v>
      </c>
      <c r="F5">
        <f t="shared" si="43"/>
        <v>605</v>
      </c>
      <c r="G5" s="43">
        <f t="shared" si="44"/>
        <v>91</v>
      </c>
      <c r="H5" s="43">
        <f t="shared" si="1"/>
        <v>787</v>
      </c>
      <c r="I5" s="43">
        <v>3</v>
      </c>
      <c r="J5">
        <f t="shared" si="45"/>
        <v>3220</v>
      </c>
      <c r="K5" s="43">
        <f t="shared" si="46"/>
        <v>483</v>
      </c>
      <c r="L5" s="43">
        <f t="shared" si="2"/>
        <v>4186</v>
      </c>
      <c r="M5" s="43">
        <v>3</v>
      </c>
      <c r="N5">
        <f t="shared" si="47"/>
        <v>916</v>
      </c>
      <c r="O5" s="43">
        <f t="shared" si="48"/>
        <v>137</v>
      </c>
      <c r="P5" s="43">
        <f t="shared" si="3"/>
        <v>1190</v>
      </c>
      <c r="Q5">
        <v>3</v>
      </c>
      <c r="R5">
        <f t="shared" si="49"/>
        <v>1125</v>
      </c>
      <c r="S5" s="43">
        <f t="shared" si="50"/>
        <v>169</v>
      </c>
      <c r="T5" s="43">
        <f t="shared" si="4"/>
        <v>1463</v>
      </c>
      <c r="U5">
        <v>3</v>
      </c>
      <c r="V5">
        <f t="shared" si="51"/>
        <v>569</v>
      </c>
      <c r="W5" s="43">
        <f t="shared" si="52"/>
        <v>85</v>
      </c>
      <c r="X5" s="43">
        <f t="shared" si="5"/>
        <v>739</v>
      </c>
      <c r="Y5">
        <v>3</v>
      </c>
      <c r="Z5">
        <f t="shared" si="53"/>
        <v>3004</v>
      </c>
      <c r="AA5" s="43">
        <f t="shared" si="54"/>
        <v>451</v>
      </c>
      <c r="AB5" s="43">
        <f t="shared" si="6"/>
        <v>3906</v>
      </c>
      <c r="AC5" s="43">
        <v>3</v>
      </c>
      <c r="AD5">
        <f t="shared" si="55"/>
        <v>916</v>
      </c>
      <c r="AE5" s="43">
        <f t="shared" si="56"/>
        <v>137</v>
      </c>
      <c r="AF5" s="43">
        <f t="shared" si="7"/>
        <v>1190</v>
      </c>
      <c r="AG5" s="43">
        <v>3</v>
      </c>
      <c r="AH5">
        <f t="shared" si="57"/>
        <v>1009</v>
      </c>
      <c r="AI5" s="43">
        <f t="shared" si="58"/>
        <v>151</v>
      </c>
      <c r="AJ5" s="43">
        <f t="shared" si="8"/>
        <v>1311</v>
      </c>
      <c r="AK5" s="43">
        <v>3</v>
      </c>
      <c r="AL5">
        <f t="shared" si="59"/>
        <v>569</v>
      </c>
      <c r="AM5" s="43">
        <f t="shared" si="60"/>
        <v>85</v>
      </c>
      <c r="AN5" s="43">
        <f t="shared" si="9"/>
        <v>739</v>
      </c>
      <c r="AO5" s="43">
        <v>3</v>
      </c>
      <c r="AP5">
        <f t="shared" si="61"/>
        <v>2836</v>
      </c>
      <c r="AQ5" s="43">
        <f t="shared" si="62"/>
        <v>425</v>
      </c>
      <c r="AR5" s="43">
        <f t="shared" si="10"/>
        <v>3686</v>
      </c>
      <c r="AS5" s="43">
        <v>3</v>
      </c>
      <c r="AT5">
        <f t="shared" si="63"/>
        <v>916</v>
      </c>
      <c r="AU5" s="43">
        <f t="shared" si="64"/>
        <v>137</v>
      </c>
      <c r="AV5" s="43">
        <f t="shared" si="11"/>
        <v>1190</v>
      </c>
      <c r="AW5">
        <v>3</v>
      </c>
      <c r="AX5">
        <f t="shared" si="65"/>
        <v>870</v>
      </c>
      <c r="AY5" s="43">
        <f t="shared" si="12"/>
        <v>131</v>
      </c>
      <c r="AZ5" s="43">
        <f t="shared" si="13"/>
        <v>1132</v>
      </c>
      <c r="BA5">
        <v>3</v>
      </c>
      <c r="BB5">
        <f t="shared" si="66"/>
        <v>649</v>
      </c>
      <c r="BC5" s="43">
        <f t="shared" si="67"/>
        <v>97</v>
      </c>
      <c r="BD5" s="43">
        <f t="shared" si="14"/>
        <v>843</v>
      </c>
      <c r="BE5">
        <v>3</v>
      </c>
      <c r="BF5">
        <f t="shared" si="68"/>
        <v>3269</v>
      </c>
      <c r="BG5" s="43">
        <f t="shared" si="69"/>
        <v>490</v>
      </c>
      <c r="BH5" s="43">
        <f t="shared" si="15"/>
        <v>4249</v>
      </c>
      <c r="BI5" s="43">
        <v>3</v>
      </c>
      <c r="BJ5">
        <f t="shared" si="70"/>
        <v>916</v>
      </c>
      <c r="BK5" s="43">
        <f t="shared" si="71"/>
        <v>137</v>
      </c>
      <c r="BL5" s="43">
        <f t="shared" si="16"/>
        <v>1190</v>
      </c>
      <c r="BM5" s="43">
        <v>3</v>
      </c>
      <c r="BN5">
        <f t="shared" si="72"/>
        <v>640</v>
      </c>
      <c r="BO5" s="43">
        <f t="shared" si="73"/>
        <v>96</v>
      </c>
      <c r="BP5" s="43">
        <f t="shared" si="17"/>
        <v>832</v>
      </c>
      <c r="BQ5" s="43">
        <v>3</v>
      </c>
      <c r="BR5">
        <f t="shared" si="74"/>
        <v>763</v>
      </c>
      <c r="BS5" s="43">
        <f t="shared" si="75"/>
        <v>114</v>
      </c>
      <c r="BT5" s="43">
        <f t="shared" si="18"/>
        <v>991</v>
      </c>
      <c r="BU5" s="43">
        <v>3</v>
      </c>
      <c r="BV5">
        <f t="shared" si="76"/>
        <v>3865</v>
      </c>
      <c r="BW5" s="43">
        <f t="shared" si="77"/>
        <v>580</v>
      </c>
      <c r="BX5" s="43">
        <f t="shared" si="19"/>
        <v>5025</v>
      </c>
      <c r="BY5" s="43">
        <v>3</v>
      </c>
      <c r="BZ5">
        <f t="shared" si="78"/>
        <v>916</v>
      </c>
      <c r="CA5" s="43">
        <f t="shared" si="79"/>
        <v>137</v>
      </c>
      <c r="CB5" s="43">
        <f t="shared" si="20"/>
        <v>1190</v>
      </c>
      <c r="CC5">
        <v>3</v>
      </c>
      <c r="CD5">
        <f t="shared" si="80"/>
        <v>880</v>
      </c>
      <c r="CE5" s="43">
        <f t="shared" si="81"/>
        <v>132</v>
      </c>
      <c r="CF5" s="43">
        <f t="shared" si="21"/>
        <v>1144</v>
      </c>
      <c r="CG5">
        <v>3</v>
      </c>
      <c r="CH5">
        <f t="shared" si="82"/>
        <v>645</v>
      </c>
      <c r="CI5" s="43">
        <f t="shared" si="83"/>
        <v>97</v>
      </c>
      <c r="CJ5" s="43">
        <f t="shared" si="22"/>
        <v>839</v>
      </c>
      <c r="CK5">
        <v>3</v>
      </c>
      <c r="CL5">
        <f t="shared" si="84"/>
        <v>3260</v>
      </c>
      <c r="CM5" s="43">
        <f t="shared" si="85"/>
        <v>489</v>
      </c>
      <c r="CN5" s="43">
        <f t="shared" si="23"/>
        <v>4238</v>
      </c>
      <c r="CO5" s="43">
        <v>3</v>
      </c>
      <c r="CP5">
        <f t="shared" si="86"/>
        <v>916</v>
      </c>
      <c r="CQ5" s="43">
        <f t="shared" si="87"/>
        <v>137</v>
      </c>
      <c r="CR5" s="43">
        <f t="shared" si="24"/>
        <v>1190</v>
      </c>
      <c r="CS5" s="43">
        <v>3</v>
      </c>
      <c r="CT5">
        <f t="shared" si="88"/>
        <v>817</v>
      </c>
      <c r="CU5" s="43">
        <f t="shared" si="89"/>
        <v>123</v>
      </c>
      <c r="CV5" s="43">
        <f t="shared" si="25"/>
        <v>1063</v>
      </c>
      <c r="CW5" s="43">
        <v>3</v>
      </c>
      <c r="CX5">
        <f t="shared" si="90"/>
        <v>645</v>
      </c>
      <c r="CY5" s="43">
        <f t="shared" si="91"/>
        <v>97</v>
      </c>
      <c r="CZ5" s="43">
        <f t="shared" si="26"/>
        <v>839</v>
      </c>
      <c r="DA5" s="43">
        <v>3</v>
      </c>
      <c r="DB5">
        <f t="shared" si="92"/>
        <v>3120</v>
      </c>
      <c r="DC5" s="43">
        <f t="shared" si="93"/>
        <v>468</v>
      </c>
      <c r="DD5" s="43">
        <f t="shared" si="27"/>
        <v>4056</v>
      </c>
      <c r="DE5" s="43">
        <v>3</v>
      </c>
      <c r="DF5">
        <f t="shared" si="94"/>
        <v>916</v>
      </c>
      <c r="DG5" s="43">
        <f t="shared" si="95"/>
        <v>137</v>
      </c>
      <c r="DH5" s="43">
        <f t="shared" si="28"/>
        <v>1190</v>
      </c>
      <c r="DI5" s="43">
        <v>3</v>
      </c>
      <c r="DJ5">
        <f t="shared" si="96"/>
        <v>760</v>
      </c>
      <c r="DK5" s="43">
        <f t="shared" si="97"/>
        <v>114</v>
      </c>
      <c r="DL5" s="43">
        <f t="shared" si="29"/>
        <v>988</v>
      </c>
      <c r="DM5" s="43">
        <v>3</v>
      </c>
      <c r="DN5">
        <f t="shared" si="98"/>
        <v>690</v>
      </c>
      <c r="DO5" s="43">
        <f t="shared" si="99"/>
        <v>104</v>
      </c>
      <c r="DP5" s="43">
        <f t="shared" si="30"/>
        <v>898</v>
      </c>
      <c r="DQ5" s="43">
        <v>3</v>
      </c>
      <c r="DR5">
        <f t="shared" si="100"/>
        <v>3930</v>
      </c>
      <c r="DS5" s="43">
        <f t="shared" si="101"/>
        <v>590</v>
      </c>
      <c r="DT5" s="43">
        <f t="shared" si="31"/>
        <v>5110</v>
      </c>
      <c r="DU5" s="43">
        <v>3</v>
      </c>
      <c r="DV5">
        <f t="shared" si="102"/>
        <v>916</v>
      </c>
      <c r="DW5" s="43">
        <f t="shared" si="103"/>
        <v>137</v>
      </c>
      <c r="DX5" s="43">
        <f t="shared" si="32"/>
        <v>1190</v>
      </c>
      <c r="DY5">
        <v>3</v>
      </c>
      <c r="DZ5">
        <f t="shared" si="104"/>
        <v>880</v>
      </c>
      <c r="EA5" s="43">
        <f t="shared" si="105"/>
        <v>132</v>
      </c>
      <c r="EB5" s="43">
        <f t="shared" si="33"/>
        <v>1144</v>
      </c>
      <c r="EC5">
        <v>3</v>
      </c>
      <c r="ED5">
        <f t="shared" si="106"/>
        <v>720</v>
      </c>
      <c r="EE5" s="43">
        <f t="shared" si="107"/>
        <v>108</v>
      </c>
      <c r="EF5" s="43">
        <f t="shared" si="34"/>
        <v>936</v>
      </c>
      <c r="EG5">
        <v>3</v>
      </c>
      <c r="EH5">
        <f t="shared" si="108"/>
        <v>3566</v>
      </c>
      <c r="EI5" s="43">
        <f t="shared" si="109"/>
        <v>535</v>
      </c>
      <c r="EJ5" s="43">
        <f t="shared" si="35"/>
        <v>4636</v>
      </c>
      <c r="EK5" s="43">
        <v>3</v>
      </c>
      <c r="EL5">
        <f t="shared" si="110"/>
        <v>916</v>
      </c>
      <c r="EM5" s="43">
        <f t="shared" si="111"/>
        <v>137</v>
      </c>
      <c r="EN5" s="43">
        <f t="shared" si="36"/>
        <v>1190</v>
      </c>
      <c r="EO5" s="43">
        <v>3</v>
      </c>
      <c r="EP5">
        <f t="shared" si="112"/>
        <v>1010</v>
      </c>
      <c r="EQ5" s="43">
        <f t="shared" si="113"/>
        <v>152</v>
      </c>
      <c r="ER5" s="43">
        <f t="shared" si="37"/>
        <v>1314</v>
      </c>
      <c r="ES5" s="43">
        <v>3</v>
      </c>
      <c r="ET5">
        <f t="shared" si="114"/>
        <v>645</v>
      </c>
      <c r="EU5" s="43">
        <f t="shared" si="115"/>
        <v>97</v>
      </c>
      <c r="EV5" s="43">
        <f t="shared" si="38"/>
        <v>839</v>
      </c>
      <c r="EW5" s="43">
        <v>3</v>
      </c>
      <c r="EX5">
        <f t="shared" si="116"/>
        <v>3260</v>
      </c>
      <c r="EY5" s="43">
        <f t="shared" si="117"/>
        <v>489</v>
      </c>
      <c r="EZ5" s="43">
        <f t="shared" si="39"/>
        <v>4238</v>
      </c>
      <c r="FA5" s="43">
        <v>3</v>
      </c>
      <c r="FB5">
        <f t="shared" si="118"/>
        <v>916</v>
      </c>
      <c r="FC5" s="43">
        <f t="shared" si="119"/>
        <v>137</v>
      </c>
      <c r="FD5" s="43">
        <f t="shared" si="40"/>
        <v>1190</v>
      </c>
    </row>
    <row r="6" spans="1:160">
      <c r="A6">
        <v>4</v>
      </c>
      <c r="B6">
        <f t="shared" si="41"/>
        <v>869</v>
      </c>
      <c r="C6" s="43">
        <f t="shared" si="42"/>
        <v>130</v>
      </c>
      <c r="D6" s="43">
        <f t="shared" si="0"/>
        <v>1259</v>
      </c>
      <c r="E6">
        <v>4</v>
      </c>
      <c r="F6">
        <f t="shared" si="43"/>
        <v>605</v>
      </c>
      <c r="G6" s="43">
        <f t="shared" si="44"/>
        <v>91</v>
      </c>
      <c r="H6" s="43">
        <f t="shared" si="1"/>
        <v>878</v>
      </c>
      <c r="I6">
        <v>4</v>
      </c>
      <c r="J6">
        <f t="shared" si="45"/>
        <v>3220</v>
      </c>
      <c r="K6" s="43">
        <f t="shared" si="46"/>
        <v>483</v>
      </c>
      <c r="L6" s="43">
        <f t="shared" si="2"/>
        <v>4669</v>
      </c>
      <c r="M6">
        <v>4</v>
      </c>
      <c r="N6">
        <f t="shared" si="47"/>
        <v>916</v>
      </c>
      <c r="O6" s="43">
        <f t="shared" si="48"/>
        <v>137</v>
      </c>
      <c r="P6" s="43">
        <f t="shared" si="3"/>
        <v>1327</v>
      </c>
      <c r="Q6">
        <v>4</v>
      </c>
      <c r="R6">
        <f t="shared" si="49"/>
        <v>1125</v>
      </c>
      <c r="S6" s="43">
        <f t="shared" si="50"/>
        <v>169</v>
      </c>
      <c r="T6" s="43">
        <f t="shared" si="4"/>
        <v>1632</v>
      </c>
      <c r="U6">
        <v>4</v>
      </c>
      <c r="V6">
        <f t="shared" si="51"/>
        <v>569</v>
      </c>
      <c r="W6" s="43">
        <f t="shared" si="52"/>
        <v>85</v>
      </c>
      <c r="X6" s="43">
        <f t="shared" si="5"/>
        <v>824</v>
      </c>
      <c r="Y6">
        <v>4</v>
      </c>
      <c r="Z6">
        <f t="shared" si="53"/>
        <v>3004</v>
      </c>
      <c r="AA6" s="43">
        <f t="shared" si="54"/>
        <v>451</v>
      </c>
      <c r="AB6" s="43">
        <f t="shared" si="6"/>
        <v>4357</v>
      </c>
      <c r="AC6">
        <v>4</v>
      </c>
      <c r="AD6">
        <f t="shared" si="55"/>
        <v>916</v>
      </c>
      <c r="AE6" s="43">
        <f t="shared" si="56"/>
        <v>137</v>
      </c>
      <c r="AF6" s="43">
        <f t="shared" si="7"/>
        <v>1327</v>
      </c>
      <c r="AG6">
        <v>4</v>
      </c>
      <c r="AH6">
        <f t="shared" si="57"/>
        <v>1009</v>
      </c>
      <c r="AI6" s="43">
        <f t="shared" si="58"/>
        <v>151</v>
      </c>
      <c r="AJ6" s="43">
        <f t="shared" si="8"/>
        <v>1462</v>
      </c>
      <c r="AK6">
        <v>4</v>
      </c>
      <c r="AL6">
        <f t="shared" si="59"/>
        <v>569</v>
      </c>
      <c r="AM6" s="43">
        <f t="shared" si="60"/>
        <v>85</v>
      </c>
      <c r="AN6" s="43">
        <f t="shared" si="9"/>
        <v>824</v>
      </c>
      <c r="AO6">
        <v>4</v>
      </c>
      <c r="AP6">
        <f t="shared" si="61"/>
        <v>2836</v>
      </c>
      <c r="AQ6" s="43">
        <f t="shared" si="62"/>
        <v>425</v>
      </c>
      <c r="AR6" s="43">
        <f t="shared" si="10"/>
        <v>4111</v>
      </c>
      <c r="AS6">
        <v>4</v>
      </c>
      <c r="AT6">
        <f t="shared" si="63"/>
        <v>916</v>
      </c>
      <c r="AU6" s="43">
        <f t="shared" si="64"/>
        <v>137</v>
      </c>
      <c r="AV6" s="43">
        <f t="shared" si="11"/>
        <v>1327</v>
      </c>
      <c r="AW6">
        <v>4</v>
      </c>
      <c r="AX6">
        <f t="shared" si="65"/>
        <v>870</v>
      </c>
      <c r="AY6" s="43">
        <f t="shared" si="12"/>
        <v>131</v>
      </c>
      <c r="AZ6" s="43">
        <f t="shared" si="13"/>
        <v>1263</v>
      </c>
      <c r="BA6">
        <v>4</v>
      </c>
      <c r="BB6">
        <f t="shared" si="66"/>
        <v>649</v>
      </c>
      <c r="BC6" s="43">
        <f t="shared" si="67"/>
        <v>97</v>
      </c>
      <c r="BD6" s="43">
        <f t="shared" si="14"/>
        <v>940</v>
      </c>
      <c r="BE6">
        <v>4</v>
      </c>
      <c r="BF6">
        <f t="shared" si="68"/>
        <v>3269</v>
      </c>
      <c r="BG6" s="43">
        <f t="shared" si="69"/>
        <v>490</v>
      </c>
      <c r="BH6" s="43">
        <f t="shared" si="15"/>
        <v>4739</v>
      </c>
      <c r="BI6">
        <v>4</v>
      </c>
      <c r="BJ6">
        <f t="shared" si="70"/>
        <v>916</v>
      </c>
      <c r="BK6" s="43">
        <f t="shared" si="71"/>
        <v>137</v>
      </c>
      <c r="BL6" s="43">
        <f t="shared" si="16"/>
        <v>1327</v>
      </c>
      <c r="BM6">
        <v>4</v>
      </c>
      <c r="BN6">
        <f t="shared" si="72"/>
        <v>640</v>
      </c>
      <c r="BO6" s="43">
        <f t="shared" si="73"/>
        <v>96</v>
      </c>
      <c r="BP6" s="43">
        <f t="shared" si="17"/>
        <v>928</v>
      </c>
      <c r="BQ6">
        <v>4</v>
      </c>
      <c r="BR6">
        <f t="shared" si="74"/>
        <v>763</v>
      </c>
      <c r="BS6" s="43">
        <f t="shared" si="75"/>
        <v>114</v>
      </c>
      <c r="BT6" s="43">
        <f t="shared" si="18"/>
        <v>1105</v>
      </c>
      <c r="BU6">
        <v>4</v>
      </c>
      <c r="BV6">
        <f t="shared" si="76"/>
        <v>3865</v>
      </c>
      <c r="BW6" s="43">
        <f t="shared" si="77"/>
        <v>580</v>
      </c>
      <c r="BX6" s="43">
        <f t="shared" si="19"/>
        <v>5605</v>
      </c>
      <c r="BY6">
        <v>4</v>
      </c>
      <c r="BZ6">
        <f t="shared" si="78"/>
        <v>916</v>
      </c>
      <c r="CA6" s="43">
        <f t="shared" si="79"/>
        <v>137</v>
      </c>
      <c r="CB6" s="43">
        <f t="shared" si="20"/>
        <v>1327</v>
      </c>
      <c r="CC6">
        <v>4</v>
      </c>
      <c r="CD6">
        <f t="shared" si="80"/>
        <v>880</v>
      </c>
      <c r="CE6" s="43">
        <f t="shared" si="81"/>
        <v>132</v>
      </c>
      <c r="CF6" s="43">
        <f t="shared" si="21"/>
        <v>1276</v>
      </c>
      <c r="CG6">
        <v>4</v>
      </c>
      <c r="CH6">
        <f t="shared" si="82"/>
        <v>645</v>
      </c>
      <c r="CI6" s="43">
        <f t="shared" si="83"/>
        <v>97</v>
      </c>
      <c r="CJ6" s="43">
        <f t="shared" si="22"/>
        <v>936</v>
      </c>
      <c r="CK6">
        <v>4</v>
      </c>
      <c r="CL6">
        <f t="shared" si="84"/>
        <v>3260</v>
      </c>
      <c r="CM6" s="43">
        <f t="shared" si="85"/>
        <v>489</v>
      </c>
      <c r="CN6" s="43">
        <f t="shared" si="23"/>
        <v>4727</v>
      </c>
      <c r="CO6">
        <v>4</v>
      </c>
      <c r="CP6">
        <f t="shared" si="86"/>
        <v>916</v>
      </c>
      <c r="CQ6" s="43">
        <f t="shared" si="87"/>
        <v>137</v>
      </c>
      <c r="CR6" s="43">
        <f t="shared" si="24"/>
        <v>1327</v>
      </c>
      <c r="CS6">
        <v>4</v>
      </c>
      <c r="CT6">
        <f t="shared" si="88"/>
        <v>817</v>
      </c>
      <c r="CU6" s="43">
        <f t="shared" si="89"/>
        <v>123</v>
      </c>
      <c r="CV6" s="43">
        <f t="shared" si="25"/>
        <v>1186</v>
      </c>
      <c r="CW6">
        <v>4</v>
      </c>
      <c r="CX6">
        <f t="shared" si="90"/>
        <v>645</v>
      </c>
      <c r="CY6" s="43">
        <f t="shared" si="91"/>
        <v>97</v>
      </c>
      <c r="CZ6" s="43">
        <f t="shared" si="26"/>
        <v>936</v>
      </c>
      <c r="DA6">
        <v>4</v>
      </c>
      <c r="DB6">
        <f t="shared" si="92"/>
        <v>3120</v>
      </c>
      <c r="DC6" s="43">
        <f t="shared" si="93"/>
        <v>468</v>
      </c>
      <c r="DD6" s="43">
        <f t="shared" si="27"/>
        <v>4524</v>
      </c>
      <c r="DE6">
        <v>4</v>
      </c>
      <c r="DF6">
        <f t="shared" si="94"/>
        <v>916</v>
      </c>
      <c r="DG6" s="43">
        <f t="shared" si="95"/>
        <v>137</v>
      </c>
      <c r="DH6" s="43">
        <f t="shared" si="28"/>
        <v>1327</v>
      </c>
      <c r="DI6">
        <v>4</v>
      </c>
      <c r="DJ6">
        <f t="shared" si="96"/>
        <v>760</v>
      </c>
      <c r="DK6" s="43">
        <f t="shared" si="97"/>
        <v>114</v>
      </c>
      <c r="DL6" s="43">
        <f t="shared" si="29"/>
        <v>1102</v>
      </c>
      <c r="DM6">
        <v>4</v>
      </c>
      <c r="DN6">
        <f t="shared" si="98"/>
        <v>690</v>
      </c>
      <c r="DO6" s="43">
        <f t="shared" si="99"/>
        <v>104</v>
      </c>
      <c r="DP6" s="43">
        <f t="shared" si="30"/>
        <v>1002</v>
      </c>
      <c r="DQ6">
        <v>4</v>
      </c>
      <c r="DR6">
        <f t="shared" si="100"/>
        <v>3930</v>
      </c>
      <c r="DS6" s="43">
        <f t="shared" si="101"/>
        <v>590</v>
      </c>
      <c r="DT6" s="43">
        <f t="shared" si="31"/>
        <v>5700</v>
      </c>
      <c r="DU6">
        <v>4</v>
      </c>
      <c r="DV6">
        <f t="shared" si="102"/>
        <v>916</v>
      </c>
      <c r="DW6" s="43">
        <f t="shared" si="103"/>
        <v>137</v>
      </c>
      <c r="DX6" s="43">
        <f t="shared" si="32"/>
        <v>1327</v>
      </c>
      <c r="DY6">
        <v>4</v>
      </c>
      <c r="DZ6">
        <f t="shared" si="104"/>
        <v>880</v>
      </c>
      <c r="EA6" s="43">
        <f t="shared" si="105"/>
        <v>132</v>
      </c>
      <c r="EB6" s="43">
        <f t="shared" si="33"/>
        <v>1276</v>
      </c>
      <c r="EC6">
        <v>4</v>
      </c>
      <c r="ED6">
        <f t="shared" si="106"/>
        <v>720</v>
      </c>
      <c r="EE6" s="43">
        <f t="shared" si="107"/>
        <v>108</v>
      </c>
      <c r="EF6" s="43">
        <f t="shared" si="34"/>
        <v>1044</v>
      </c>
      <c r="EG6">
        <v>4</v>
      </c>
      <c r="EH6">
        <f t="shared" si="108"/>
        <v>3566</v>
      </c>
      <c r="EI6" s="43">
        <f t="shared" si="109"/>
        <v>535</v>
      </c>
      <c r="EJ6" s="43">
        <f t="shared" si="35"/>
        <v>5171</v>
      </c>
      <c r="EK6">
        <v>4</v>
      </c>
      <c r="EL6">
        <f t="shared" si="110"/>
        <v>916</v>
      </c>
      <c r="EM6" s="43">
        <f t="shared" si="111"/>
        <v>137</v>
      </c>
      <c r="EN6" s="43">
        <f t="shared" si="36"/>
        <v>1327</v>
      </c>
      <c r="EO6">
        <v>4</v>
      </c>
      <c r="EP6">
        <f t="shared" si="112"/>
        <v>1010</v>
      </c>
      <c r="EQ6" s="43">
        <f t="shared" si="113"/>
        <v>152</v>
      </c>
      <c r="ER6" s="43">
        <f t="shared" si="37"/>
        <v>1466</v>
      </c>
      <c r="ES6">
        <v>4</v>
      </c>
      <c r="ET6">
        <f t="shared" si="114"/>
        <v>645</v>
      </c>
      <c r="EU6" s="43">
        <f t="shared" si="115"/>
        <v>97</v>
      </c>
      <c r="EV6" s="43">
        <f t="shared" si="38"/>
        <v>936</v>
      </c>
      <c r="EW6">
        <v>4</v>
      </c>
      <c r="EX6">
        <f t="shared" si="116"/>
        <v>3260</v>
      </c>
      <c r="EY6" s="43">
        <f t="shared" si="117"/>
        <v>489</v>
      </c>
      <c r="EZ6" s="43">
        <f t="shared" si="39"/>
        <v>4727</v>
      </c>
      <c r="FA6">
        <v>4</v>
      </c>
      <c r="FB6">
        <f t="shared" si="118"/>
        <v>916</v>
      </c>
      <c r="FC6" s="43">
        <f t="shared" si="119"/>
        <v>137</v>
      </c>
      <c r="FD6" s="43">
        <f t="shared" si="40"/>
        <v>1327</v>
      </c>
    </row>
    <row r="7" spans="1:160">
      <c r="A7">
        <v>5</v>
      </c>
      <c r="B7">
        <f t="shared" si="41"/>
        <v>869</v>
      </c>
      <c r="C7" s="43">
        <f t="shared" si="42"/>
        <v>130</v>
      </c>
      <c r="D7" s="43">
        <f t="shared" si="0"/>
        <v>1389</v>
      </c>
      <c r="E7">
        <v>5</v>
      </c>
      <c r="F7">
        <f t="shared" si="43"/>
        <v>605</v>
      </c>
      <c r="G7" s="43">
        <f t="shared" si="44"/>
        <v>91</v>
      </c>
      <c r="H7" s="43">
        <f t="shared" si="1"/>
        <v>969</v>
      </c>
      <c r="I7" s="43">
        <v>5</v>
      </c>
      <c r="J7">
        <f t="shared" si="45"/>
        <v>3220</v>
      </c>
      <c r="K7" s="43">
        <f t="shared" si="46"/>
        <v>483</v>
      </c>
      <c r="L7" s="43">
        <f t="shared" si="2"/>
        <v>5152</v>
      </c>
      <c r="M7" s="43">
        <v>5</v>
      </c>
      <c r="N7">
        <f t="shared" si="47"/>
        <v>916</v>
      </c>
      <c r="O7" s="43">
        <f t="shared" si="48"/>
        <v>137</v>
      </c>
      <c r="P7" s="43">
        <f t="shared" si="3"/>
        <v>1464</v>
      </c>
      <c r="Q7">
        <v>5</v>
      </c>
      <c r="R7">
        <f t="shared" si="49"/>
        <v>1125</v>
      </c>
      <c r="S7" s="43">
        <f t="shared" si="50"/>
        <v>169</v>
      </c>
      <c r="T7" s="43">
        <f t="shared" si="4"/>
        <v>1801</v>
      </c>
      <c r="U7">
        <v>5</v>
      </c>
      <c r="V7">
        <f t="shared" si="51"/>
        <v>569</v>
      </c>
      <c r="W7" s="43">
        <f t="shared" si="52"/>
        <v>85</v>
      </c>
      <c r="X7" s="43">
        <f t="shared" si="5"/>
        <v>909</v>
      </c>
      <c r="Y7">
        <v>5</v>
      </c>
      <c r="Z7">
        <f t="shared" si="53"/>
        <v>3004</v>
      </c>
      <c r="AA7" s="43">
        <f t="shared" si="54"/>
        <v>451</v>
      </c>
      <c r="AB7" s="43">
        <f t="shared" si="6"/>
        <v>4808</v>
      </c>
      <c r="AC7" s="43">
        <v>5</v>
      </c>
      <c r="AD7">
        <f t="shared" si="55"/>
        <v>916</v>
      </c>
      <c r="AE7" s="43">
        <f t="shared" si="56"/>
        <v>137</v>
      </c>
      <c r="AF7" s="43">
        <f t="shared" si="7"/>
        <v>1464</v>
      </c>
      <c r="AG7" s="43">
        <v>5</v>
      </c>
      <c r="AH7">
        <f t="shared" si="57"/>
        <v>1009</v>
      </c>
      <c r="AI7" s="43">
        <f t="shared" si="58"/>
        <v>151</v>
      </c>
      <c r="AJ7" s="43">
        <f t="shared" si="8"/>
        <v>1613</v>
      </c>
      <c r="AK7" s="43">
        <v>5</v>
      </c>
      <c r="AL7">
        <f t="shared" si="59"/>
        <v>569</v>
      </c>
      <c r="AM7" s="43">
        <f t="shared" si="60"/>
        <v>85</v>
      </c>
      <c r="AN7" s="43">
        <f t="shared" si="9"/>
        <v>909</v>
      </c>
      <c r="AO7" s="43">
        <v>5</v>
      </c>
      <c r="AP7">
        <f t="shared" si="61"/>
        <v>2836</v>
      </c>
      <c r="AQ7" s="43">
        <f t="shared" si="62"/>
        <v>425</v>
      </c>
      <c r="AR7" s="43">
        <f t="shared" si="10"/>
        <v>4536</v>
      </c>
      <c r="AS7" s="43">
        <v>5</v>
      </c>
      <c r="AT7">
        <f t="shared" si="63"/>
        <v>916</v>
      </c>
      <c r="AU7" s="43">
        <f t="shared" si="64"/>
        <v>137</v>
      </c>
      <c r="AV7" s="43">
        <f t="shared" si="11"/>
        <v>1464</v>
      </c>
      <c r="AW7">
        <v>5</v>
      </c>
      <c r="AX7">
        <f t="shared" si="65"/>
        <v>870</v>
      </c>
      <c r="AY7" s="43">
        <f t="shared" si="12"/>
        <v>131</v>
      </c>
      <c r="AZ7" s="43">
        <f t="shared" si="13"/>
        <v>1394</v>
      </c>
      <c r="BA7">
        <v>5</v>
      </c>
      <c r="BB7">
        <f t="shared" si="66"/>
        <v>649</v>
      </c>
      <c r="BC7" s="43">
        <f t="shared" si="67"/>
        <v>97</v>
      </c>
      <c r="BD7" s="43">
        <f t="shared" si="14"/>
        <v>1037</v>
      </c>
      <c r="BE7">
        <v>5</v>
      </c>
      <c r="BF7">
        <f t="shared" si="68"/>
        <v>3269</v>
      </c>
      <c r="BG7" s="43">
        <f t="shared" si="69"/>
        <v>490</v>
      </c>
      <c r="BH7" s="43">
        <f t="shared" si="15"/>
        <v>5229</v>
      </c>
      <c r="BI7" s="43">
        <v>5</v>
      </c>
      <c r="BJ7">
        <f t="shared" si="70"/>
        <v>916</v>
      </c>
      <c r="BK7" s="43">
        <f t="shared" si="71"/>
        <v>137</v>
      </c>
      <c r="BL7" s="43">
        <f t="shared" si="16"/>
        <v>1464</v>
      </c>
      <c r="BM7" s="43">
        <v>5</v>
      </c>
      <c r="BN7">
        <f t="shared" si="72"/>
        <v>640</v>
      </c>
      <c r="BO7" s="43">
        <f t="shared" si="73"/>
        <v>96</v>
      </c>
      <c r="BP7" s="43">
        <f t="shared" si="17"/>
        <v>1024</v>
      </c>
      <c r="BQ7" s="43">
        <v>5</v>
      </c>
      <c r="BR7">
        <f t="shared" si="74"/>
        <v>763</v>
      </c>
      <c r="BS7" s="43">
        <f t="shared" si="75"/>
        <v>114</v>
      </c>
      <c r="BT7" s="43">
        <f t="shared" si="18"/>
        <v>1219</v>
      </c>
      <c r="BU7" s="43">
        <v>5</v>
      </c>
      <c r="BV7">
        <f t="shared" si="76"/>
        <v>3865</v>
      </c>
      <c r="BW7" s="43">
        <f t="shared" si="77"/>
        <v>580</v>
      </c>
      <c r="BX7" s="43">
        <f t="shared" si="19"/>
        <v>6185</v>
      </c>
      <c r="BY7" s="43">
        <v>5</v>
      </c>
      <c r="BZ7">
        <f t="shared" si="78"/>
        <v>916</v>
      </c>
      <c r="CA7" s="43">
        <f t="shared" si="79"/>
        <v>137</v>
      </c>
      <c r="CB7" s="43">
        <f t="shared" si="20"/>
        <v>1464</v>
      </c>
      <c r="CC7">
        <v>5</v>
      </c>
      <c r="CD7">
        <f t="shared" si="80"/>
        <v>880</v>
      </c>
      <c r="CE7" s="43">
        <f t="shared" si="81"/>
        <v>132</v>
      </c>
      <c r="CF7" s="43">
        <f t="shared" si="21"/>
        <v>1408</v>
      </c>
      <c r="CG7">
        <v>5</v>
      </c>
      <c r="CH7">
        <f t="shared" si="82"/>
        <v>645</v>
      </c>
      <c r="CI7" s="43">
        <f t="shared" si="83"/>
        <v>97</v>
      </c>
      <c r="CJ7" s="43">
        <f t="shared" si="22"/>
        <v>1033</v>
      </c>
      <c r="CK7">
        <v>5</v>
      </c>
      <c r="CL7">
        <f t="shared" si="84"/>
        <v>3260</v>
      </c>
      <c r="CM7" s="43">
        <f t="shared" si="85"/>
        <v>489</v>
      </c>
      <c r="CN7" s="43">
        <f t="shared" si="23"/>
        <v>5216</v>
      </c>
      <c r="CO7" s="43">
        <v>5</v>
      </c>
      <c r="CP7">
        <f t="shared" si="86"/>
        <v>916</v>
      </c>
      <c r="CQ7" s="43">
        <f t="shared" si="87"/>
        <v>137</v>
      </c>
      <c r="CR7" s="43">
        <f t="shared" si="24"/>
        <v>1464</v>
      </c>
      <c r="CS7" s="43">
        <v>5</v>
      </c>
      <c r="CT7">
        <f t="shared" si="88"/>
        <v>817</v>
      </c>
      <c r="CU7" s="43">
        <f t="shared" si="89"/>
        <v>123</v>
      </c>
      <c r="CV7" s="43">
        <f t="shared" si="25"/>
        <v>1309</v>
      </c>
      <c r="CW7" s="43">
        <v>5</v>
      </c>
      <c r="CX7">
        <f t="shared" si="90"/>
        <v>645</v>
      </c>
      <c r="CY7" s="43">
        <f t="shared" si="91"/>
        <v>97</v>
      </c>
      <c r="CZ7" s="43">
        <f t="shared" si="26"/>
        <v>1033</v>
      </c>
      <c r="DA7" s="43">
        <v>5</v>
      </c>
      <c r="DB7">
        <f t="shared" si="92"/>
        <v>3120</v>
      </c>
      <c r="DC7" s="43">
        <f t="shared" si="93"/>
        <v>468</v>
      </c>
      <c r="DD7" s="43">
        <f t="shared" si="27"/>
        <v>4992</v>
      </c>
      <c r="DE7" s="43">
        <v>5</v>
      </c>
      <c r="DF7">
        <f t="shared" si="94"/>
        <v>916</v>
      </c>
      <c r="DG7" s="43">
        <f t="shared" si="95"/>
        <v>137</v>
      </c>
      <c r="DH7" s="43">
        <f t="shared" si="28"/>
        <v>1464</v>
      </c>
      <c r="DI7" s="43">
        <v>5</v>
      </c>
      <c r="DJ7">
        <f t="shared" si="96"/>
        <v>760</v>
      </c>
      <c r="DK7" s="43">
        <f t="shared" si="97"/>
        <v>114</v>
      </c>
      <c r="DL7" s="43">
        <f t="shared" si="29"/>
        <v>1216</v>
      </c>
      <c r="DM7" s="43">
        <v>5</v>
      </c>
      <c r="DN7">
        <f t="shared" si="98"/>
        <v>690</v>
      </c>
      <c r="DO7" s="43">
        <f t="shared" si="99"/>
        <v>104</v>
      </c>
      <c r="DP7" s="43">
        <f t="shared" si="30"/>
        <v>1106</v>
      </c>
      <c r="DQ7" s="43">
        <v>5</v>
      </c>
      <c r="DR7">
        <f t="shared" si="100"/>
        <v>3930</v>
      </c>
      <c r="DS7" s="43">
        <f t="shared" si="101"/>
        <v>590</v>
      </c>
      <c r="DT7" s="43">
        <f t="shared" si="31"/>
        <v>6290</v>
      </c>
      <c r="DU7" s="43">
        <v>5</v>
      </c>
      <c r="DV7">
        <f t="shared" si="102"/>
        <v>916</v>
      </c>
      <c r="DW7" s="43">
        <f t="shared" si="103"/>
        <v>137</v>
      </c>
      <c r="DX7" s="43">
        <f t="shared" si="32"/>
        <v>1464</v>
      </c>
      <c r="DY7">
        <v>5</v>
      </c>
      <c r="DZ7">
        <f t="shared" si="104"/>
        <v>880</v>
      </c>
      <c r="EA7" s="43">
        <f t="shared" si="105"/>
        <v>132</v>
      </c>
      <c r="EB7" s="43">
        <f t="shared" si="33"/>
        <v>1408</v>
      </c>
      <c r="EC7">
        <v>5</v>
      </c>
      <c r="ED7">
        <f t="shared" si="106"/>
        <v>720</v>
      </c>
      <c r="EE7" s="43">
        <f t="shared" si="107"/>
        <v>108</v>
      </c>
      <c r="EF7" s="43">
        <f t="shared" si="34"/>
        <v>1152</v>
      </c>
      <c r="EG7">
        <v>5</v>
      </c>
      <c r="EH7">
        <f t="shared" si="108"/>
        <v>3566</v>
      </c>
      <c r="EI7" s="43">
        <f t="shared" si="109"/>
        <v>535</v>
      </c>
      <c r="EJ7" s="43">
        <f t="shared" si="35"/>
        <v>5706</v>
      </c>
      <c r="EK7" s="43">
        <v>5</v>
      </c>
      <c r="EL7">
        <f t="shared" si="110"/>
        <v>916</v>
      </c>
      <c r="EM7" s="43">
        <f t="shared" si="111"/>
        <v>137</v>
      </c>
      <c r="EN7" s="43">
        <f t="shared" si="36"/>
        <v>1464</v>
      </c>
      <c r="EO7" s="43">
        <v>5</v>
      </c>
      <c r="EP7">
        <f t="shared" si="112"/>
        <v>1010</v>
      </c>
      <c r="EQ7" s="43">
        <f t="shared" si="113"/>
        <v>152</v>
      </c>
      <c r="ER7" s="43">
        <f t="shared" si="37"/>
        <v>1618</v>
      </c>
      <c r="ES7" s="43">
        <v>5</v>
      </c>
      <c r="ET7">
        <f t="shared" si="114"/>
        <v>645</v>
      </c>
      <c r="EU7" s="43">
        <f t="shared" si="115"/>
        <v>97</v>
      </c>
      <c r="EV7" s="43">
        <f t="shared" si="38"/>
        <v>1033</v>
      </c>
      <c r="EW7" s="43">
        <v>5</v>
      </c>
      <c r="EX7">
        <f t="shared" si="116"/>
        <v>3260</v>
      </c>
      <c r="EY7" s="43">
        <f t="shared" si="117"/>
        <v>489</v>
      </c>
      <c r="EZ7" s="43">
        <f t="shared" si="39"/>
        <v>5216</v>
      </c>
      <c r="FA7" s="43">
        <v>5</v>
      </c>
      <c r="FB7">
        <f t="shared" si="118"/>
        <v>916</v>
      </c>
      <c r="FC7" s="43">
        <f t="shared" si="119"/>
        <v>137</v>
      </c>
      <c r="FD7" s="43">
        <f t="shared" si="40"/>
        <v>1464</v>
      </c>
    </row>
    <row r="8" spans="1:160">
      <c r="A8">
        <v>6</v>
      </c>
      <c r="B8">
        <f t="shared" si="41"/>
        <v>869</v>
      </c>
      <c r="C8" s="43">
        <f t="shared" si="42"/>
        <v>130</v>
      </c>
      <c r="D8" s="43">
        <f t="shared" si="0"/>
        <v>1519</v>
      </c>
      <c r="E8">
        <v>6</v>
      </c>
      <c r="F8">
        <f t="shared" si="43"/>
        <v>605</v>
      </c>
      <c r="G8" s="43">
        <f t="shared" si="44"/>
        <v>91</v>
      </c>
      <c r="H8" s="43">
        <f t="shared" si="1"/>
        <v>1060</v>
      </c>
      <c r="I8">
        <v>6</v>
      </c>
      <c r="J8">
        <f t="shared" si="45"/>
        <v>3220</v>
      </c>
      <c r="K8" s="43">
        <f t="shared" si="46"/>
        <v>483</v>
      </c>
      <c r="L8" s="43">
        <f t="shared" si="2"/>
        <v>5635</v>
      </c>
      <c r="M8">
        <v>6</v>
      </c>
      <c r="N8">
        <f t="shared" si="47"/>
        <v>916</v>
      </c>
      <c r="O8" s="43">
        <f t="shared" si="48"/>
        <v>137</v>
      </c>
      <c r="P8" s="43">
        <f t="shared" si="3"/>
        <v>1601</v>
      </c>
      <c r="Q8">
        <v>6</v>
      </c>
      <c r="R8">
        <f t="shared" si="49"/>
        <v>1125</v>
      </c>
      <c r="S8" s="43">
        <f t="shared" si="50"/>
        <v>169</v>
      </c>
      <c r="T8" s="43">
        <f t="shared" si="4"/>
        <v>1970</v>
      </c>
      <c r="U8">
        <v>6</v>
      </c>
      <c r="V8">
        <f t="shared" si="51"/>
        <v>569</v>
      </c>
      <c r="W8" s="43">
        <f t="shared" si="52"/>
        <v>85</v>
      </c>
      <c r="X8" s="43">
        <f t="shared" si="5"/>
        <v>994</v>
      </c>
      <c r="Y8">
        <v>6</v>
      </c>
      <c r="Z8">
        <f t="shared" si="53"/>
        <v>3004</v>
      </c>
      <c r="AA8" s="43">
        <f t="shared" si="54"/>
        <v>451</v>
      </c>
      <c r="AB8" s="43">
        <f t="shared" si="6"/>
        <v>5259</v>
      </c>
      <c r="AC8">
        <v>6</v>
      </c>
      <c r="AD8">
        <f t="shared" si="55"/>
        <v>916</v>
      </c>
      <c r="AE8" s="43">
        <f t="shared" si="56"/>
        <v>137</v>
      </c>
      <c r="AF8" s="43">
        <f t="shared" si="7"/>
        <v>1601</v>
      </c>
      <c r="AG8">
        <v>6</v>
      </c>
      <c r="AH8">
        <f t="shared" si="57"/>
        <v>1009</v>
      </c>
      <c r="AI8" s="43">
        <f t="shared" si="58"/>
        <v>151</v>
      </c>
      <c r="AJ8" s="43">
        <f t="shared" si="8"/>
        <v>1764</v>
      </c>
      <c r="AK8">
        <v>6</v>
      </c>
      <c r="AL8">
        <f t="shared" si="59"/>
        <v>569</v>
      </c>
      <c r="AM8" s="43">
        <f t="shared" si="60"/>
        <v>85</v>
      </c>
      <c r="AN8" s="43">
        <f t="shared" si="9"/>
        <v>994</v>
      </c>
      <c r="AO8">
        <v>6</v>
      </c>
      <c r="AP8">
        <f t="shared" si="61"/>
        <v>2836</v>
      </c>
      <c r="AQ8" s="43">
        <f t="shared" si="62"/>
        <v>425</v>
      </c>
      <c r="AR8" s="43">
        <f t="shared" si="10"/>
        <v>4961</v>
      </c>
      <c r="AS8">
        <v>6</v>
      </c>
      <c r="AT8">
        <f t="shared" si="63"/>
        <v>916</v>
      </c>
      <c r="AU8" s="43">
        <f t="shared" si="64"/>
        <v>137</v>
      </c>
      <c r="AV8" s="43">
        <f t="shared" si="11"/>
        <v>1601</v>
      </c>
      <c r="AW8">
        <v>6</v>
      </c>
      <c r="AX8">
        <f t="shared" si="65"/>
        <v>870</v>
      </c>
      <c r="AY8" s="43">
        <f t="shared" si="12"/>
        <v>131</v>
      </c>
      <c r="AZ8" s="43">
        <f t="shared" si="13"/>
        <v>1525</v>
      </c>
      <c r="BA8">
        <v>6</v>
      </c>
      <c r="BB8">
        <f t="shared" si="66"/>
        <v>649</v>
      </c>
      <c r="BC8" s="43">
        <f t="shared" si="67"/>
        <v>97</v>
      </c>
      <c r="BD8" s="43">
        <f t="shared" si="14"/>
        <v>1134</v>
      </c>
      <c r="BE8">
        <v>6</v>
      </c>
      <c r="BF8">
        <f t="shared" si="68"/>
        <v>3269</v>
      </c>
      <c r="BG8" s="43">
        <f t="shared" si="69"/>
        <v>490</v>
      </c>
      <c r="BH8" s="43">
        <f t="shared" si="15"/>
        <v>5719</v>
      </c>
      <c r="BI8">
        <v>6</v>
      </c>
      <c r="BJ8">
        <f t="shared" si="70"/>
        <v>916</v>
      </c>
      <c r="BK8" s="43">
        <f t="shared" si="71"/>
        <v>137</v>
      </c>
      <c r="BL8" s="43">
        <f t="shared" si="16"/>
        <v>1601</v>
      </c>
      <c r="BM8">
        <v>6</v>
      </c>
      <c r="BN8">
        <f t="shared" si="72"/>
        <v>640</v>
      </c>
      <c r="BO8" s="43">
        <f t="shared" si="73"/>
        <v>96</v>
      </c>
      <c r="BP8" s="43">
        <f t="shared" si="17"/>
        <v>1120</v>
      </c>
      <c r="BQ8">
        <v>6</v>
      </c>
      <c r="BR8">
        <f t="shared" si="74"/>
        <v>763</v>
      </c>
      <c r="BS8" s="43">
        <f t="shared" si="75"/>
        <v>114</v>
      </c>
      <c r="BT8" s="43">
        <f t="shared" si="18"/>
        <v>1333</v>
      </c>
      <c r="BU8">
        <v>6</v>
      </c>
      <c r="BV8">
        <f t="shared" si="76"/>
        <v>3865</v>
      </c>
      <c r="BW8" s="43">
        <f t="shared" si="77"/>
        <v>580</v>
      </c>
      <c r="BX8" s="43">
        <f t="shared" si="19"/>
        <v>6765</v>
      </c>
      <c r="BY8">
        <v>6</v>
      </c>
      <c r="BZ8">
        <f t="shared" si="78"/>
        <v>916</v>
      </c>
      <c r="CA8" s="43">
        <f t="shared" si="79"/>
        <v>137</v>
      </c>
      <c r="CB8" s="43">
        <f t="shared" si="20"/>
        <v>1601</v>
      </c>
      <c r="CC8">
        <v>6</v>
      </c>
      <c r="CD8">
        <f t="shared" si="80"/>
        <v>880</v>
      </c>
      <c r="CE8" s="43">
        <f t="shared" si="81"/>
        <v>132</v>
      </c>
      <c r="CF8" s="43">
        <f t="shared" si="21"/>
        <v>1540</v>
      </c>
      <c r="CG8">
        <v>6</v>
      </c>
      <c r="CH8">
        <f t="shared" si="82"/>
        <v>645</v>
      </c>
      <c r="CI8" s="43">
        <f t="shared" si="83"/>
        <v>97</v>
      </c>
      <c r="CJ8" s="43">
        <f t="shared" si="22"/>
        <v>1130</v>
      </c>
      <c r="CK8">
        <v>6</v>
      </c>
      <c r="CL8">
        <f t="shared" si="84"/>
        <v>3260</v>
      </c>
      <c r="CM8" s="43">
        <f t="shared" si="85"/>
        <v>489</v>
      </c>
      <c r="CN8" s="43">
        <f t="shared" si="23"/>
        <v>5705</v>
      </c>
      <c r="CO8">
        <v>6</v>
      </c>
      <c r="CP8">
        <f t="shared" si="86"/>
        <v>916</v>
      </c>
      <c r="CQ8" s="43">
        <f t="shared" si="87"/>
        <v>137</v>
      </c>
      <c r="CR8" s="43">
        <f t="shared" si="24"/>
        <v>1601</v>
      </c>
      <c r="CS8">
        <v>6</v>
      </c>
      <c r="CT8">
        <f t="shared" si="88"/>
        <v>817</v>
      </c>
      <c r="CU8" s="43">
        <f t="shared" si="89"/>
        <v>123</v>
      </c>
      <c r="CV8" s="43">
        <f t="shared" si="25"/>
        <v>1432</v>
      </c>
      <c r="CW8">
        <v>6</v>
      </c>
      <c r="CX8">
        <f t="shared" si="90"/>
        <v>645</v>
      </c>
      <c r="CY8" s="43">
        <f t="shared" si="91"/>
        <v>97</v>
      </c>
      <c r="CZ8" s="43">
        <f t="shared" si="26"/>
        <v>1130</v>
      </c>
      <c r="DA8">
        <v>6</v>
      </c>
      <c r="DB8">
        <f t="shared" si="92"/>
        <v>3120</v>
      </c>
      <c r="DC8" s="43">
        <f t="shared" si="93"/>
        <v>468</v>
      </c>
      <c r="DD8" s="43">
        <f t="shared" si="27"/>
        <v>5460</v>
      </c>
      <c r="DE8">
        <v>6</v>
      </c>
      <c r="DF8">
        <f t="shared" si="94"/>
        <v>916</v>
      </c>
      <c r="DG8" s="43">
        <f t="shared" si="95"/>
        <v>137</v>
      </c>
      <c r="DH8" s="43">
        <f t="shared" si="28"/>
        <v>1601</v>
      </c>
      <c r="DI8">
        <v>6</v>
      </c>
      <c r="DJ8">
        <f t="shared" si="96"/>
        <v>760</v>
      </c>
      <c r="DK8" s="43">
        <f t="shared" si="97"/>
        <v>114</v>
      </c>
      <c r="DL8" s="43">
        <f t="shared" si="29"/>
        <v>1330</v>
      </c>
      <c r="DM8">
        <v>6</v>
      </c>
      <c r="DN8">
        <f t="shared" si="98"/>
        <v>690</v>
      </c>
      <c r="DO8" s="43">
        <f t="shared" si="99"/>
        <v>104</v>
      </c>
      <c r="DP8" s="43">
        <f t="shared" si="30"/>
        <v>1210</v>
      </c>
      <c r="DQ8">
        <v>6</v>
      </c>
      <c r="DR8">
        <f t="shared" si="100"/>
        <v>3930</v>
      </c>
      <c r="DS8" s="43">
        <f t="shared" si="101"/>
        <v>590</v>
      </c>
      <c r="DT8" s="43">
        <f t="shared" si="31"/>
        <v>6880</v>
      </c>
      <c r="DU8">
        <v>6</v>
      </c>
      <c r="DV8">
        <f t="shared" si="102"/>
        <v>916</v>
      </c>
      <c r="DW8" s="43">
        <f t="shared" si="103"/>
        <v>137</v>
      </c>
      <c r="DX8" s="43">
        <f t="shared" si="32"/>
        <v>1601</v>
      </c>
      <c r="DY8">
        <v>6</v>
      </c>
      <c r="DZ8">
        <f t="shared" si="104"/>
        <v>880</v>
      </c>
      <c r="EA8" s="43">
        <f t="shared" si="105"/>
        <v>132</v>
      </c>
      <c r="EB8" s="43">
        <f t="shared" si="33"/>
        <v>1540</v>
      </c>
      <c r="EC8">
        <v>6</v>
      </c>
      <c r="ED8">
        <f t="shared" si="106"/>
        <v>720</v>
      </c>
      <c r="EE8" s="43">
        <f t="shared" si="107"/>
        <v>108</v>
      </c>
      <c r="EF8" s="43">
        <f t="shared" si="34"/>
        <v>1260</v>
      </c>
      <c r="EG8">
        <v>6</v>
      </c>
      <c r="EH8">
        <f t="shared" si="108"/>
        <v>3566</v>
      </c>
      <c r="EI8" s="43">
        <f t="shared" si="109"/>
        <v>535</v>
      </c>
      <c r="EJ8" s="43">
        <f t="shared" si="35"/>
        <v>6241</v>
      </c>
      <c r="EK8">
        <v>6</v>
      </c>
      <c r="EL8">
        <f t="shared" si="110"/>
        <v>916</v>
      </c>
      <c r="EM8" s="43">
        <f t="shared" si="111"/>
        <v>137</v>
      </c>
      <c r="EN8" s="43">
        <f t="shared" si="36"/>
        <v>1601</v>
      </c>
      <c r="EO8">
        <v>6</v>
      </c>
      <c r="EP8">
        <f t="shared" si="112"/>
        <v>1010</v>
      </c>
      <c r="EQ8" s="43">
        <f t="shared" si="113"/>
        <v>152</v>
      </c>
      <c r="ER8" s="43">
        <f t="shared" si="37"/>
        <v>1770</v>
      </c>
      <c r="ES8">
        <v>6</v>
      </c>
      <c r="ET8">
        <f t="shared" si="114"/>
        <v>645</v>
      </c>
      <c r="EU8" s="43">
        <f t="shared" si="115"/>
        <v>97</v>
      </c>
      <c r="EV8" s="43">
        <f t="shared" si="38"/>
        <v>1130</v>
      </c>
      <c r="EW8">
        <v>6</v>
      </c>
      <c r="EX8">
        <f t="shared" si="116"/>
        <v>3260</v>
      </c>
      <c r="EY8" s="43">
        <f t="shared" si="117"/>
        <v>489</v>
      </c>
      <c r="EZ8" s="43">
        <f t="shared" si="39"/>
        <v>5705</v>
      </c>
      <c r="FA8">
        <v>6</v>
      </c>
      <c r="FB8">
        <f t="shared" si="118"/>
        <v>916</v>
      </c>
      <c r="FC8" s="43">
        <f t="shared" si="119"/>
        <v>137</v>
      </c>
      <c r="FD8" s="43">
        <f t="shared" si="40"/>
        <v>1601</v>
      </c>
    </row>
    <row r="9" spans="1:160">
      <c r="A9">
        <v>7</v>
      </c>
      <c r="B9">
        <f t="shared" si="41"/>
        <v>869</v>
      </c>
      <c r="C9" s="43">
        <f t="shared" si="42"/>
        <v>130</v>
      </c>
      <c r="D9" s="43">
        <f t="shared" si="0"/>
        <v>1649</v>
      </c>
      <c r="E9">
        <v>7</v>
      </c>
      <c r="F9">
        <f t="shared" si="43"/>
        <v>605</v>
      </c>
      <c r="G9" s="43">
        <f t="shared" si="44"/>
        <v>91</v>
      </c>
      <c r="H9" s="43">
        <f t="shared" si="1"/>
        <v>1151</v>
      </c>
      <c r="I9" s="43">
        <v>7</v>
      </c>
      <c r="J9">
        <f t="shared" si="45"/>
        <v>3220</v>
      </c>
      <c r="K9" s="43">
        <f t="shared" si="46"/>
        <v>483</v>
      </c>
      <c r="L9" s="43">
        <f t="shared" si="2"/>
        <v>6118</v>
      </c>
      <c r="M9" s="43">
        <v>7</v>
      </c>
      <c r="N9">
        <f t="shared" si="47"/>
        <v>916</v>
      </c>
      <c r="O9" s="43">
        <f t="shared" si="48"/>
        <v>137</v>
      </c>
      <c r="P9" s="43">
        <f t="shared" si="3"/>
        <v>1738</v>
      </c>
      <c r="Q9">
        <v>7</v>
      </c>
      <c r="R9">
        <f t="shared" si="49"/>
        <v>1125</v>
      </c>
      <c r="S9" s="43">
        <f t="shared" si="50"/>
        <v>169</v>
      </c>
      <c r="T9" s="43">
        <f t="shared" si="4"/>
        <v>2139</v>
      </c>
      <c r="U9">
        <v>7</v>
      </c>
      <c r="V9">
        <f t="shared" si="51"/>
        <v>569</v>
      </c>
      <c r="W9" s="43">
        <f t="shared" si="52"/>
        <v>85</v>
      </c>
      <c r="X9" s="43">
        <f t="shared" si="5"/>
        <v>1079</v>
      </c>
      <c r="Y9">
        <v>7</v>
      </c>
      <c r="Z9">
        <f t="shared" si="53"/>
        <v>3004</v>
      </c>
      <c r="AA9" s="43">
        <f t="shared" si="54"/>
        <v>451</v>
      </c>
      <c r="AB9" s="43">
        <f t="shared" si="6"/>
        <v>5710</v>
      </c>
      <c r="AC9" s="43">
        <v>7</v>
      </c>
      <c r="AD9">
        <f t="shared" si="55"/>
        <v>916</v>
      </c>
      <c r="AE9" s="43">
        <f t="shared" si="56"/>
        <v>137</v>
      </c>
      <c r="AF9" s="43">
        <f t="shared" si="7"/>
        <v>1738</v>
      </c>
      <c r="AG9" s="43">
        <v>7</v>
      </c>
      <c r="AH9">
        <f t="shared" si="57"/>
        <v>1009</v>
      </c>
      <c r="AI9" s="43">
        <f t="shared" si="58"/>
        <v>151</v>
      </c>
      <c r="AJ9" s="43">
        <f t="shared" si="8"/>
        <v>1915</v>
      </c>
      <c r="AK9" s="43">
        <v>7</v>
      </c>
      <c r="AL9">
        <f t="shared" si="59"/>
        <v>569</v>
      </c>
      <c r="AM9" s="43">
        <f t="shared" si="60"/>
        <v>85</v>
      </c>
      <c r="AN9" s="43">
        <f t="shared" si="9"/>
        <v>1079</v>
      </c>
      <c r="AO9" s="43">
        <v>7</v>
      </c>
      <c r="AP9">
        <f t="shared" si="61"/>
        <v>2836</v>
      </c>
      <c r="AQ9" s="43">
        <f t="shared" si="62"/>
        <v>425</v>
      </c>
      <c r="AR9" s="43">
        <f t="shared" si="10"/>
        <v>5386</v>
      </c>
      <c r="AS9" s="43">
        <v>7</v>
      </c>
      <c r="AT9">
        <f t="shared" si="63"/>
        <v>916</v>
      </c>
      <c r="AU9" s="43">
        <f t="shared" si="64"/>
        <v>137</v>
      </c>
      <c r="AV9" s="43">
        <f t="shared" si="11"/>
        <v>1738</v>
      </c>
      <c r="AW9">
        <v>7</v>
      </c>
      <c r="AX9">
        <f t="shared" si="65"/>
        <v>870</v>
      </c>
      <c r="AY9" s="43">
        <f t="shared" si="12"/>
        <v>131</v>
      </c>
      <c r="AZ9" s="43">
        <f t="shared" si="13"/>
        <v>1656</v>
      </c>
      <c r="BA9">
        <v>7</v>
      </c>
      <c r="BB9">
        <f t="shared" si="66"/>
        <v>649</v>
      </c>
      <c r="BC9" s="43">
        <f t="shared" si="67"/>
        <v>97</v>
      </c>
      <c r="BD9" s="43">
        <f t="shared" si="14"/>
        <v>1231</v>
      </c>
      <c r="BE9">
        <v>7</v>
      </c>
      <c r="BF9">
        <f t="shared" si="68"/>
        <v>3269</v>
      </c>
      <c r="BG9" s="43">
        <f t="shared" si="69"/>
        <v>490</v>
      </c>
      <c r="BH9" s="43">
        <f t="shared" si="15"/>
        <v>6209</v>
      </c>
      <c r="BI9" s="43">
        <v>7</v>
      </c>
      <c r="BJ9">
        <f t="shared" si="70"/>
        <v>916</v>
      </c>
      <c r="BK9" s="43">
        <f t="shared" si="71"/>
        <v>137</v>
      </c>
      <c r="BL9" s="43">
        <f t="shared" si="16"/>
        <v>1738</v>
      </c>
      <c r="BM9" s="43">
        <v>7</v>
      </c>
      <c r="BN9">
        <f t="shared" si="72"/>
        <v>640</v>
      </c>
      <c r="BO9" s="43">
        <f t="shared" si="73"/>
        <v>96</v>
      </c>
      <c r="BP9" s="43">
        <f t="shared" si="17"/>
        <v>1216</v>
      </c>
      <c r="BQ9" s="43">
        <v>7</v>
      </c>
      <c r="BR9">
        <f t="shared" si="74"/>
        <v>763</v>
      </c>
      <c r="BS9" s="43">
        <f t="shared" si="75"/>
        <v>114</v>
      </c>
      <c r="BT9" s="43">
        <f t="shared" si="18"/>
        <v>1447</v>
      </c>
      <c r="BU9" s="43">
        <v>7</v>
      </c>
      <c r="BV9">
        <f t="shared" si="76"/>
        <v>3865</v>
      </c>
      <c r="BW9" s="43">
        <f t="shared" si="77"/>
        <v>580</v>
      </c>
      <c r="BX9" s="43">
        <f t="shared" si="19"/>
        <v>7345</v>
      </c>
      <c r="BY9" s="43">
        <v>7</v>
      </c>
      <c r="BZ9">
        <f t="shared" si="78"/>
        <v>916</v>
      </c>
      <c r="CA9" s="43">
        <f t="shared" si="79"/>
        <v>137</v>
      </c>
      <c r="CB9" s="43">
        <f t="shared" si="20"/>
        <v>1738</v>
      </c>
      <c r="CC9">
        <v>7</v>
      </c>
      <c r="CD9">
        <f t="shared" si="80"/>
        <v>880</v>
      </c>
      <c r="CE9" s="43">
        <f t="shared" si="81"/>
        <v>132</v>
      </c>
      <c r="CF9" s="43">
        <f t="shared" si="21"/>
        <v>1672</v>
      </c>
      <c r="CG9">
        <v>7</v>
      </c>
      <c r="CH9">
        <f t="shared" si="82"/>
        <v>645</v>
      </c>
      <c r="CI9" s="43">
        <f t="shared" si="83"/>
        <v>97</v>
      </c>
      <c r="CJ9" s="43">
        <f t="shared" si="22"/>
        <v>1227</v>
      </c>
      <c r="CK9">
        <v>7</v>
      </c>
      <c r="CL9">
        <f t="shared" si="84"/>
        <v>3260</v>
      </c>
      <c r="CM9" s="43">
        <f t="shared" si="85"/>
        <v>489</v>
      </c>
      <c r="CN9" s="43">
        <f t="shared" si="23"/>
        <v>6194</v>
      </c>
      <c r="CO9" s="43">
        <v>7</v>
      </c>
      <c r="CP9">
        <f t="shared" si="86"/>
        <v>916</v>
      </c>
      <c r="CQ9" s="43">
        <f t="shared" si="87"/>
        <v>137</v>
      </c>
      <c r="CR9" s="43">
        <f t="shared" si="24"/>
        <v>1738</v>
      </c>
      <c r="CS9" s="43">
        <v>7</v>
      </c>
      <c r="CT9">
        <f t="shared" si="88"/>
        <v>817</v>
      </c>
      <c r="CU9" s="43">
        <f t="shared" si="89"/>
        <v>123</v>
      </c>
      <c r="CV9" s="43">
        <f t="shared" si="25"/>
        <v>1555</v>
      </c>
      <c r="CW9" s="43">
        <v>7</v>
      </c>
      <c r="CX9">
        <f t="shared" si="90"/>
        <v>645</v>
      </c>
      <c r="CY9" s="43">
        <f t="shared" si="91"/>
        <v>97</v>
      </c>
      <c r="CZ9" s="43">
        <f t="shared" si="26"/>
        <v>1227</v>
      </c>
      <c r="DA9" s="43">
        <v>7</v>
      </c>
      <c r="DB9">
        <f t="shared" si="92"/>
        <v>3120</v>
      </c>
      <c r="DC9" s="43">
        <f t="shared" si="93"/>
        <v>468</v>
      </c>
      <c r="DD9" s="43">
        <f t="shared" si="27"/>
        <v>5928</v>
      </c>
      <c r="DE9" s="43">
        <v>7</v>
      </c>
      <c r="DF9">
        <f t="shared" si="94"/>
        <v>916</v>
      </c>
      <c r="DG9" s="43">
        <f t="shared" si="95"/>
        <v>137</v>
      </c>
      <c r="DH9" s="43">
        <f t="shared" si="28"/>
        <v>1738</v>
      </c>
      <c r="DI9" s="43">
        <v>7</v>
      </c>
      <c r="DJ9">
        <f t="shared" si="96"/>
        <v>760</v>
      </c>
      <c r="DK9" s="43">
        <f t="shared" si="97"/>
        <v>114</v>
      </c>
      <c r="DL9" s="43">
        <f t="shared" si="29"/>
        <v>1444</v>
      </c>
      <c r="DM9" s="43">
        <v>7</v>
      </c>
      <c r="DN9">
        <f t="shared" si="98"/>
        <v>690</v>
      </c>
      <c r="DO9" s="43">
        <f t="shared" si="99"/>
        <v>104</v>
      </c>
      <c r="DP9" s="43">
        <f t="shared" si="30"/>
        <v>1314</v>
      </c>
      <c r="DQ9" s="43">
        <v>7</v>
      </c>
      <c r="DR9">
        <f t="shared" si="100"/>
        <v>3930</v>
      </c>
      <c r="DS9" s="43">
        <f t="shared" si="101"/>
        <v>590</v>
      </c>
      <c r="DT9" s="43">
        <f t="shared" si="31"/>
        <v>7470</v>
      </c>
      <c r="DU9" s="43">
        <v>7</v>
      </c>
      <c r="DV9">
        <f t="shared" si="102"/>
        <v>916</v>
      </c>
      <c r="DW9" s="43">
        <f t="shared" si="103"/>
        <v>137</v>
      </c>
      <c r="DX9" s="43">
        <f t="shared" si="32"/>
        <v>1738</v>
      </c>
      <c r="DY9">
        <v>7</v>
      </c>
      <c r="DZ9">
        <f t="shared" si="104"/>
        <v>880</v>
      </c>
      <c r="EA9" s="43">
        <f t="shared" si="105"/>
        <v>132</v>
      </c>
      <c r="EB9" s="43">
        <f t="shared" si="33"/>
        <v>1672</v>
      </c>
      <c r="EC9">
        <v>7</v>
      </c>
      <c r="ED9">
        <f t="shared" si="106"/>
        <v>720</v>
      </c>
      <c r="EE9" s="43">
        <f t="shared" si="107"/>
        <v>108</v>
      </c>
      <c r="EF9" s="43">
        <f t="shared" si="34"/>
        <v>1368</v>
      </c>
      <c r="EG9">
        <v>7</v>
      </c>
      <c r="EH9">
        <f t="shared" si="108"/>
        <v>3566</v>
      </c>
      <c r="EI9" s="43">
        <f t="shared" si="109"/>
        <v>535</v>
      </c>
      <c r="EJ9" s="43">
        <f t="shared" si="35"/>
        <v>6776</v>
      </c>
      <c r="EK9" s="43">
        <v>7</v>
      </c>
      <c r="EL9">
        <f t="shared" si="110"/>
        <v>916</v>
      </c>
      <c r="EM9" s="43">
        <f t="shared" si="111"/>
        <v>137</v>
      </c>
      <c r="EN9" s="43">
        <f t="shared" si="36"/>
        <v>1738</v>
      </c>
      <c r="EO9" s="43">
        <v>7</v>
      </c>
      <c r="EP9">
        <f t="shared" si="112"/>
        <v>1010</v>
      </c>
      <c r="EQ9" s="43">
        <f t="shared" si="113"/>
        <v>152</v>
      </c>
      <c r="ER9" s="43">
        <f t="shared" si="37"/>
        <v>1922</v>
      </c>
      <c r="ES9" s="43">
        <v>7</v>
      </c>
      <c r="ET9">
        <f t="shared" si="114"/>
        <v>645</v>
      </c>
      <c r="EU9" s="43">
        <f t="shared" si="115"/>
        <v>97</v>
      </c>
      <c r="EV9" s="43">
        <f t="shared" si="38"/>
        <v>1227</v>
      </c>
      <c r="EW9" s="43">
        <v>7</v>
      </c>
      <c r="EX9">
        <f t="shared" si="116"/>
        <v>3260</v>
      </c>
      <c r="EY9" s="43">
        <f t="shared" si="117"/>
        <v>489</v>
      </c>
      <c r="EZ9" s="43">
        <f t="shared" si="39"/>
        <v>6194</v>
      </c>
      <c r="FA9" s="43">
        <v>7</v>
      </c>
      <c r="FB9">
        <f t="shared" si="118"/>
        <v>916</v>
      </c>
      <c r="FC9" s="43">
        <f t="shared" si="119"/>
        <v>137</v>
      </c>
      <c r="FD9" s="43">
        <f t="shared" si="40"/>
        <v>1738</v>
      </c>
    </row>
    <row r="10" spans="1:160">
      <c r="A10">
        <v>8</v>
      </c>
      <c r="B10">
        <f t="shared" si="41"/>
        <v>869</v>
      </c>
      <c r="C10" s="43">
        <f t="shared" si="42"/>
        <v>130</v>
      </c>
      <c r="D10" s="43">
        <f t="shared" si="0"/>
        <v>1779</v>
      </c>
      <c r="E10">
        <v>8</v>
      </c>
      <c r="F10">
        <f t="shared" si="43"/>
        <v>605</v>
      </c>
      <c r="G10" s="43">
        <f t="shared" si="44"/>
        <v>91</v>
      </c>
      <c r="H10" s="43">
        <f t="shared" si="1"/>
        <v>1242</v>
      </c>
      <c r="I10">
        <v>8</v>
      </c>
      <c r="J10">
        <f t="shared" si="45"/>
        <v>3220</v>
      </c>
      <c r="K10" s="43">
        <f t="shared" si="46"/>
        <v>483</v>
      </c>
      <c r="L10" s="43">
        <f t="shared" si="2"/>
        <v>6601</v>
      </c>
      <c r="M10">
        <v>8</v>
      </c>
      <c r="N10">
        <f t="shared" si="47"/>
        <v>916</v>
      </c>
      <c r="O10" s="43">
        <f t="shared" si="48"/>
        <v>137</v>
      </c>
      <c r="P10" s="43">
        <f t="shared" si="3"/>
        <v>1875</v>
      </c>
      <c r="Q10">
        <v>8</v>
      </c>
      <c r="R10">
        <f t="shared" si="49"/>
        <v>1125</v>
      </c>
      <c r="S10" s="43">
        <f t="shared" si="50"/>
        <v>169</v>
      </c>
      <c r="T10" s="43">
        <f t="shared" si="4"/>
        <v>2308</v>
      </c>
      <c r="U10">
        <v>8</v>
      </c>
      <c r="V10">
        <f t="shared" si="51"/>
        <v>569</v>
      </c>
      <c r="W10" s="43">
        <f t="shared" si="52"/>
        <v>85</v>
      </c>
      <c r="X10" s="43">
        <f t="shared" si="5"/>
        <v>1164</v>
      </c>
      <c r="Y10">
        <v>8</v>
      </c>
      <c r="Z10">
        <f t="shared" si="53"/>
        <v>3004</v>
      </c>
      <c r="AA10" s="43">
        <f t="shared" si="54"/>
        <v>451</v>
      </c>
      <c r="AB10" s="43">
        <f t="shared" si="6"/>
        <v>6161</v>
      </c>
      <c r="AC10">
        <v>8</v>
      </c>
      <c r="AD10">
        <f t="shared" si="55"/>
        <v>916</v>
      </c>
      <c r="AE10" s="43">
        <f t="shared" si="56"/>
        <v>137</v>
      </c>
      <c r="AF10" s="43">
        <f t="shared" si="7"/>
        <v>1875</v>
      </c>
      <c r="AG10">
        <v>8</v>
      </c>
      <c r="AH10">
        <f t="shared" si="57"/>
        <v>1009</v>
      </c>
      <c r="AI10" s="43">
        <f t="shared" si="58"/>
        <v>151</v>
      </c>
      <c r="AJ10" s="43">
        <f t="shared" si="8"/>
        <v>2066</v>
      </c>
      <c r="AK10">
        <v>8</v>
      </c>
      <c r="AL10">
        <f t="shared" si="59"/>
        <v>569</v>
      </c>
      <c r="AM10" s="43">
        <f t="shared" si="60"/>
        <v>85</v>
      </c>
      <c r="AN10" s="43">
        <f t="shared" si="9"/>
        <v>1164</v>
      </c>
      <c r="AO10">
        <v>8</v>
      </c>
      <c r="AP10">
        <f t="shared" si="61"/>
        <v>2836</v>
      </c>
      <c r="AQ10" s="43">
        <f t="shared" si="62"/>
        <v>425</v>
      </c>
      <c r="AR10" s="43">
        <f t="shared" si="10"/>
        <v>5811</v>
      </c>
      <c r="AS10">
        <v>8</v>
      </c>
      <c r="AT10">
        <f t="shared" si="63"/>
        <v>916</v>
      </c>
      <c r="AU10" s="43">
        <f t="shared" si="64"/>
        <v>137</v>
      </c>
      <c r="AV10" s="43">
        <f t="shared" si="11"/>
        <v>1875</v>
      </c>
      <c r="AW10">
        <v>8</v>
      </c>
      <c r="AX10">
        <f t="shared" si="65"/>
        <v>870</v>
      </c>
      <c r="AY10" s="43">
        <f t="shared" si="12"/>
        <v>131</v>
      </c>
      <c r="AZ10" s="43">
        <f t="shared" si="13"/>
        <v>1787</v>
      </c>
      <c r="BA10">
        <v>8</v>
      </c>
      <c r="BB10">
        <f t="shared" si="66"/>
        <v>649</v>
      </c>
      <c r="BC10" s="43">
        <f t="shared" si="67"/>
        <v>97</v>
      </c>
      <c r="BD10" s="43">
        <f t="shared" si="14"/>
        <v>1328</v>
      </c>
      <c r="BE10">
        <v>8</v>
      </c>
      <c r="BF10">
        <f t="shared" si="68"/>
        <v>3269</v>
      </c>
      <c r="BG10" s="43">
        <f t="shared" si="69"/>
        <v>490</v>
      </c>
      <c r="BH10" s="43">
        <f t="shared" si="15"/>
        <v>6699</v>
      </c>
      <c r="BI10">
        <v>8</v>
      </c>
      <c r="BJ10">
        <f t="shared" si="70"/>
        <v>916</v>
      </c>
      <c r="BK10" s="43">
        <f t="shared" si="71"/>
        <v>137</v>
      </c>
      <c r="BL10" s="43">
        <f t="shared" si="16"/>
        <v>1875</v>
      </c>
      <c r="BM10">
        <v>8</v>
      </c>
      <c r="BN10">
        <f t="shared" si="72"/>
        <v>640</v>
      </c>
      <c r="BO10" s="43">
        <f t="shared" si="73"/>
        <v>96</v>
      </c>
      <c r="BP10" s="43">
        <f t="shared" si="17"/>
        <v>1312</v>
      </c>
      <c r="BQ10">
        <v>8</v>
      </c>
      <c r="BR10">
        <f t="shared" si="74"/>
        <v>763</v>
      </c>
      <c r="BS10" s="43">
        <f t="shared" si="75"/>
        <v>114</v>
      </c>
      <c r="BT10" s="43">
        <f t="shared" si="18"/>
        <v>1561</v>
      </c>
      <c r="BU10">
        <v>8</v>
      </c>
      <c r="BV10">
        <f t="shared" si="76"/>
        <v>3865</v>
      </c>
      <c r="BW10" s="43">
        <f t="shared" si="77"/>
        <v>580</v>
      </c>
      <c r="BX10" s="43">
        <f t="shared" si="19"/>
        <v>7925</v>
      </c>
      <c r="BY10">
        <v>8</v>
      </c>
      <c r="BZ10">
        <f t="shared" si="78"/>
        <v>916</v>
      </c>
      <c r="CA10" s="43">
        <f t="shared" si="79"/>
        <v>137</v>
      </c>
      <c r="CB10" s="43">
        <f t="shared" si="20"/>
        <v>1875</v>
      </c>
      <c r="CC10">
        <v>8</v>
      </c>
      <c r="CD10">
        <f t="shared" si="80"/>
        <v>880</v>
      </c>
      <c r="CE10" s="43">
        <f t="shared" si="81"/>
        <v>132</v>
      </c>
      <c r="CF10" s="43">
        <f t="shared" si="21"/>
        <v>1804</v>
      </c>
      <c r="CG10">
        <v>8</v>
      </c>
      <c r="CH10">
        <f t="shared" si="82"/>
        <v>645</v>
      </c>
      <c r="CI10" s="43">
        <f t="shared" si="83"/>
        <v>97</v>
      </c>
      <c r="CJ10" s="43">
        <f t="shared" si="22"/>
        <v>1324</v>
      </c>
      <c r="CK10">
        <v>8</v>
      </c>
      <c r="CL10">
        <f t="shared" si="84"/>
        <v>3260</v>
      </c>
      <c r="CM10" s="43">
        <f t="shared" si="85"/>
        <v>489</v>
      </c>
      <c r="CN10" s="43">
        <f t="shared" si="23"/>
        <v>6683</v>
      </c>
      <c r="CO10">
        <v>8</v>
      </c>
      <c r="CP10">
        <f t="shared" si="86"/>
        <v>916</v>
      </c>
      <c r="CQ10" s="43">
        <f t="shared" si="87"/>
        <v>137</v>
      </c>
      <c r="CR10" s="43">
        <f t="shared" si="24"/>
        <v>1875</v>
      </c>
      <c r="CS10">
        <v>8</v>
      </c>
      <c r="CT10">
        <f t="shared" si="88"/>
        <v>817</v>
      </c>
      <c r="CU10" s="43">
        <f t="shared" si="89"/>
        <v>123</v>
      </c>
      <c r="CV10" s="43">
        <f t="shared" si="25"/>
        <v>1678</v>
      </c>
      <c r="CW10">
        <v>8</v>
      </c>
      <c r="CX10">
        <f t="shared" si="90"/>
        <v>645</v>
      </c>
      <c r="CY10" s="43">
        <f t="shared" si="91"/>
        <v>97</v>
      </c>
      <c r="CZ10" s="43">
        <f t="shared" si="26"/>
        <v>1324</v>
      </c>
      <c r="DA10">
        <v>8</v>
      </c>
      <c r="DB10">
        <f t="shared" si="92"/>
        <v>3120</v>
      </c>
      <c r="DC10" s="43">
        <f t="shared" si="93"/>
        <v>468</v>
      </c>
      <c r="DD10" s="43">
        <f t="shared" si="27"/>
        <v>6396</v>
      </c>
      <c r="DE10">
        <v>8</v>
      </c>
      <c r="DF10">
        <f t="shared" si="94"/>
        <v>916</v>
      </c>
      <c r="DG10" s="43">
        <f t="shared" si="95"/>
        <v>137</v>
      </c>
      <c r="DH10" s="43">
        <f t="shared" si="28"/>
        <v>1875</v>
      </c>
      <c r="DI10">
        <v>8</v>
      </c>
      <c r="DJ10">
        <f t="shared" si="96"/>
        <v>760</v>
      </c>
      <c r="DK10" s="43">
        <f t="shared" si="97"/>
        <v>114</v>
      </c>
      <c r="DL10" s="43">
        <f t="shared" si="29"/>
        <v>1558</v>
      </c>
      <c r="DM10">
        <v>8</v>
      </c>
      <c r="DN10">
        <f t="shared" si="98"/>
        <v>690</v>
      </c>
      <c r="DO10" s="43">
        <f t="shared" si="99"/>
        <v>104</v>
      </c>
      <c r="DP10" s="43">
        <f t="shared" si="30"/>
        <v>1418</v>
      </c>
      <c r="DQ10">
        <v>8</v>
      </c>
      <c r="DR10">
        <f t="shared" si="100"/>
        <v>3930</v>
      </c>
      <c r="DS10" s="43">
        <f t="shared" si="101"/>
        <v>590</v>
      </c>
      <c r="DT10" s="43">
        <f t="shared" si="31"/>
        <v>8060</v>
      </c>
      <c r="DU10">
        <v>8</v>
      </c>
      <c r="DV10">
        <f t="shared" si="102"/>
        <v>916</v>
      </c>
      <c r="DW10" s="43">
        <f t="shared" si="103"/>
        <v>137</v>
      </c>
      <c r="DX10" s="43">
        <f t="shared" si="32"/>
        <v>1875</v>
      </c>
      <c r="DY10">
        <v>8</v>
      </c>
      <c r="DZ10">
        <f t="shared" si="104"/>
        <v>880</v>
      </c>
      <c r="EA10" s="43">
        <f t="shared" si="105"/>
        <v>132</v>
      </c>
      <c r="EB10" s="43">
        <f t="shared" si="33"/>
        <v>1804</v>
      </c>
      <c r="EC10">
        <v>8</v>
      </c>
      <c r="ED10">
        <f t="shared" si="106"/>
        <v>720</v>
      </c>
      <c r="EE10" s="43">
        <f t="shared" si="107"/>
        <v>108</v>
      </c>
      <c r="EF10" s="43">
        <f t="shared" si="34"/>
        <v>1476</v>
      </c>
      <c r="EG10">
        <v>8</v>
      </c>
      <c r="EH10">
        <f t="shared" si="108"/>
        <v>3566</v>
      </c>
      <c r="EI10" s="43">
        <f t="shared" si="109"/>
        <v>535</v>
      </c>
      <c r="EJ10" s="43">
        <f t="shared" si="35"/>
        <v>7311</v>
      </c>
      <c r="EK10">
        <v>8</v>
      </c>
      <c r="EL10">
        <f t="shared" si="110"/>
        <v>916</v>
      </c>
      <c r="EM10" s="43">
        <f t="shared" si="111"/>
        <v>137</v>
      </c>
      <c r="EN10" s="43">
        <f t="shared" si="36"/>
        <v>1875</v>
      </c>
      <c r="EO10">
        <v>8</v>
      </c>
      <c r="EP10">
        <f t="shared" si="112"/>
        <v>1010</v>
      </c>
      <c r="EQ10" s="43">
        <f t="shared" si="113"/>
        <v>152</v>
      </c>
      <c r="ER10" s="43">
        <f t="shared" si="37"/>
        <v>2074</v>
      </c>
      <c r="ES10">
        <v>8</v>
      </c>
      <c r="ET10">
        <f t="shared" si="114"/>
        <v>645</v>
      </c>
      <c r="EU10" s="43">
        <f t="shared" si="115"/>
        <v>97</v>
      </c>
      <c r="EV10" s="43">
        <f t="shared" si="38"/>
        <v>1324</v>
      </c>
      <c r="EW10">
        <v>8</v>
      </c>
      <c r="EX10">
        <f t="shared" si="116"/>
        <v>3260</v>
      </c>
      <c r="EY10" s="43">
        <f t="shared" si="117"/>
        <v>489</v>
      </c>
      <c r="EZ10" s="43">
        <f t="shared" si="39"/>
        <v>6683</v>
      </c>
      <c r="FA10">
        <v>8</v>
      </c>
      <c r="FB10">
        <f t="shared" si="118"/>
        <v>916</v>
      </c>
      <c r="FC10" s="43">
        <f t="shared" si="119"/>
        <v>137</v>
      </c>
      <c r="FD10" s="43">
        <f t="shared" si="40"/>
        <v>1875</v>
      </c>
    </row>
    <row r="11" spans="1:160">
      <c r="A11">
        <v>9</v>
      </c>
      <c r="B11">
        <f t="shared" si="41"/>
        <v>869</v>
      </c>
      <c r="C11" s="43">
        <f t="shared" si="42"/>
        <v>130</v>
      </c>
      <c r="D11" s="43">
        <f t="shared" si="0"/>
        <v>1909</v>
      </c>
      <c r="E11">
        <v>9</v>
      </c>
      <c r="F11">
        <f t="shared" si="43"/>
        <v>605</v>
      </c>
      <c r="G11" s="43">
        <f t="shared" si="44"/>
        <v>91</v>
      </c>
      <c r="H11" s="43">
        <f t="shared" si="1"/>
        <v>1333</v>
      </c>
      <c r="I11" s="43">
        <v>9</v>
      </c>
      <c r="J11">
        <f t="shared" si="45"/>
        <v>3220</v>
      </c>
      <c r="K11" s="43">
        <f t="shared" si="46"/>
        <v>483</v>
      </c>
      <c r="L11" s="43">
        <f t="shared" si="2"/>
        <v>7084</v>
      </c>
      <c r="M11" s="43">
        <v>9</v>
      </c>
      <c r="N11">
        <f t="shared" si="47"/>
        <v>916</v>
      </c>
      <c r="O11" s="43">
        <f t="shared" si="48"/>
        <v>137</v>
      </c>
      <c r="P11" s="43">
        <f t="shared" si="3"/>
        <v>2012</v>
      </c>
      <c r="Q11">
        <v>9</v>
      </c>
      <c r="R11">
        <f t="shared" si="49"/>
        <v>1125</v>
      </c>
      <c r="S11" s="43">
        <f t="shared" si="50"/>
        <v>169</v>
      </c>
      <c r="T11" s="43">
        <f t="shared" si="4"/>
        <v>2477</v>
      </c>
      <c r="U11">
        <v>9</v>
      </c>
      <c r="V11">
        <f t="shared" si="51"/>
        <v>569</v>
      </c>
      <c r="W11" s="43">
        <f t="shared" si="52"/>
        <v>85</v>
      </c>
      <c r="X11" s="43">
        <f t="shared" si="5"/>
        <v>1249</v>
      </c>
      <c r="Y11">
        <v>9</v>
      </c>
      <c r="Z11">
        <f t="shared" si="53"/>
        <v>3004</v>
      </c>
      <c r="AA11" s="43">
        <f t="shared" si="54"/>
        <v>451</v>
      </c>
      <c r="AB11" s="43">
        <f t="shared" si="6"/>
        <v>6612</v>
      </c>
      <c r="AC11" s="43">
        <v>9</v>
      </c>
      <c r="AD11">
        <f t="shared" si="55"/>
        <v>916</v>
      </c>
      <c r="AE11" s="43">
        <f t="shared" si="56"/>
        <v>137</v>
      </c>
      <c r="AF11" s="43">
        <f t="shared" si="7"/>
        <v>2012</v>
      </c>
      <c r="AG11" s="43">
        <v>9</v>
      </c>
      <c r="AH11">
        <f t="shared" si="57"/>
        <v>1009</v>
      </c>
      <c r="AI11" s="43">
        <f t="shared" si="58"/>
        <v>151</v>
      </c>
      <c r="AJ11" s="43">
        <f t="shared" si="8"/>
        <v>2217</v>
      </c>
      <c r="AK11" s="43">
        <v>9</v>
      </c>
      <c r="AL11">
        <f t="shared" si="59"/>
        <v>569</v>
      </c>
      <c r="AM11" s="43">
        <f t="shared" si="60"/>
        <v>85</v>
      </c>
      <c r="AN11" s="43">
        <f t="shared" si="9"/>
        <v>1249</v>
      </c>
      <c r="AO11" s="43">
        <v>9</v>
      </c>
      <c r="AP11">
        <f t="shared" si="61"/>
        <v>2836</v>
      </c>
      <c r="AQ11" s="43">
        <f t="shared" si="62"/>
        <v>425</v>
      </c>
      <c r="AR11" s="43">
        <f t="shared" si="10"/>
        <v>6236</v>
      </c>
      <c r="AS11" s="43">
        <v>9</v>
      </c>
      <c r="AT11">
        <f t="shared" si="63"/>
        <v>916</v>
      </c>
      <c r="AU11" s="43">
        <f t="shared" si="64"/>
        <v>137</v>
      </c>
      <c r="AV11" s="43">
        <f t="shared" si="11"/>
        <v>2012</v>
      </c>
      <c r="AW11">
        <v>9</v>
      </c>
      <c r="AX11">
        <f t="shared" si="65"/>
        <v>870</v>
      </c>
      <c r="AY11" s="43">
        <f t="shared" si="12"/>
        <v>131</v>
      </c>
      <c r="AZ11" s="43">
        <f t="shared" si="13"/>
        <v>1918</v>
      </c>
      <c r="BA11">
        <v>9</v>
      </c>
      <c r="BB11">
        <f t="shared" si="66"/>
        <v>649</v>
      </c>
      <c r="BC11" s="43">
        <f t="shared" si="67"/>
        <v>97</v>
      </c>
      <c r="BD11" s="43">
        <f t="shared" si="14"/>
        <v>1425</v>
      </c>
      <c r="BE11">
        <v>9</v>
      </c>
      <c r="BF11">
        <f t="shared" si="68"/>
        <v>3269</v>
      </c>
      <c r="BG11" s="43">
        <f t="shared" si="69"/>
        <v>490</v>
      </c>
      <c r="BH11" s="43">
        <f t="shared" si="15"/>
        <v>7189</v>
      </c>
      <c r="BI11" s="43">
        <v>9</v>
      </c>
      <c r="BJ11">
        <f t="shared" si="70"/>
        <v>916</v>
      </c>
      <c r="BK11" s="43">
        <f t="shared" si="71"/>
        <v>137</v>
      </c>
      <c r="BL11" s="43">
        <f t="shared" si="16"/>
        <v>2012</v>
      </c>
      <c r="BM11" s="43">
        <v>9</v>
      </c>
      <c r="BN11">
        <f t="shared" si="72"/>
        <v>640</v>
      </c>
      <c r="BO11" s="43">
        <f t="shared" si="73"/>
        <v>96</v>
      </c>
      <c r="BP11" s="43">
        <f t="shared" si="17"/>
        <v>1408</v>
      </c>
      <c r="BQ11" s="43">
        <v>9</v>
      </c>
      <c r="BR11">
        <f t="shared" si="74"/>
        <v>763</v>
      </c>
      <c r="BS11" s="43">
        <f t="shared" si="75"/>
        <v>114</v>
      </c>
      <c r="BT11" s="43">
        <f t="shared" si="18"/>
        <v>1675</v>
      </c>
      <c r="BU11" s="43">
        <v>9</v>
      </c>
      <c r="BV11">
        <f t="shared" si="76"/>
        <v>3865</v>
      </c>
      <c r="BW11" s="43">
        <f t="shared" si="77"/>
        <v>580</v>
      </c>
      <c r="BX11" s="43">
        <f t="shared" si="19"/>
        <v>8505</v>
      </c>
      <c r="BY11" s="43">
        <v>9</v>
      </c>
      <c r="BZ11">
        <f t="shared" si="78"/>
        <v>916</v>
      </c>
      <c r="CA11" s="43">
        <f t="shared" si="79"/>
        <v>137</v>
      </c>
      <c r="CB11" s="43">
        <f t="shared" si="20"/>
        <v>2012</v>
      </c>
      <c r="CC11">
        <v>9</v>
      </c>
      <c r="CD11">
        <f t="shared" si="80"/>
        <v>880</v>
      </c>
      <c r="CE11" s="43">
        <f t="shared" si="81"/>
        <v>132</v>
      </c>
      <c r="CF11" s="43">
        <f t="shared" si="21"/>
        <v>1936</v>
      </c>
      <c r="CG11">
        <v>9</v>
      </c>
      <c r="CH11">
        <f t="shared" si="82"/>
        <v>645</v>
      </c>
      <c r="CI11" s="43">
        <f t="shared" si="83"/>
        <v>97</v>
      </c>
      <c r="CJ11" s="43">
        <f t="shared" si="22"/>
        <v>1421</v>
      </c>
      <c r="CK11">
        <v>9</v>
      </c>
      <c r="CL11">
        <f t="shared" si="84"/>
        <v>3260</v>
      </c>
      <c r="CM11" s="43">
        <f t="shared" si="85"/>
        <v>489</v>
      </c>
      <c r="CN11" s="43">
        <f t="shared" si="23"/>
        <v>7172</v>
      </c>
      <c r="CO11" s="43">
        <v>9</v>
      </c>
      <c r="CP11">
        <f t="shared" si="86"/>
        <v>916</v>
      </c>
      <c r="CQ11" s="43">
        <f t="shared" si="87"/>
        <v>137</v>
      </c>
      <c r="CR11" s="43">
        <f t="shared" si="24"/>
        <v>2012</v>
      </c>
      <c r="CS11" s="43">
        <v>9</v>
      </c>
      <c r="CT11">
        <f t="shared" si="88"/>
        <v>817</v>
      </c>
      <c r="CU11" s="43">
        <f t="shared" si="89"/>
        <v>123</v>
      </c>
      <c r="CV11" s="43">
        <f t="shared" si="25"/>
        <v>1801</v>
      </c>
      <c r="CW11" s="43">
        <v>9</v>
      </c>
      <c r="CX11">
        <f t="shared" si="90"/>
        <v>645</v>
      </c>
      <c r="CY11" s="43">
        <f t="shared" si="91"/>
        <v>97</v>
      </c>
      <c r="CZ11" s="43">
        <f t="shared" si="26"/>
        <v>1421</v>
      </c>
      <c r="DA11" s="43">
        <v>9</v>
      </c>
      <c r="DB11">
        <f t="shared" si="92"/>
        <v>3120</v>
      </c>
      <c r="DC11" s="43">
        <f t="shared" si="93"/>
        <v>468</v>
      </c>
      <c r="DD11" s="43">
        <f t="shared" si="27"/>
        <v>6864</v>
      </c>
      <c r="DE11" s="43">
        <v>9</v>
      </c>
      <c r="DF11">
        <f t="shared" si="94"/>
        <v>916</v>
      </c>
      <c r="DG11" s="43">
        <f t="shared" si="95"/>
        <v>137</v>
      </c>
      <c r="DH11" s="43">
        <f t="shared" si="28"/>
        <v>2012</v>
      </c>
      <c r="DI11" s="43">
        <v>9</v>
      </c>
      <c r="DJ11">
        <f t="shared" si="96"/>
        <v>760</v>
      </c>
      <c r="DK11" s="43">
        <f t="shared" si="97"/>
        <v>114</v>
      </c>
      <c r="DL11" s="43">
        <f t="shared" si="29"/>
        <v>1672</v>
      </c>
      <c r="DM11" s="43">
        <v>9</v>
      </c>
      <c r="DN11">
        <f t="shared" si="98"/>
        <v>690</v>
      </c>
      <c r="DO11" s="43">
        <f t="shared" si="99"/>
        <v>104</v>
      </c>
      <c r="DP11" s="43">
        <f t="shared" si="30"/>
        <v>1522</v>
      </c>
      <c r="DQ11" s="43">
        <v>9</v>
      </c>
      <c r="DR11">
        <f t="shared" si="100"/>
        <v>3930</v>
      </c>
      <c r="DS11" s="43">
        <f t="shared" si="101"/>
        <v>590</v>
      </c>
      <c r="DT11" s="43">
        <f t="shared" si="31"/>
        <v>8650</v>
      </c>
      <c r="DU11" s="43">
        <v>9</v>
      </c>
      <c r="DV11">
        <f t="shared" si="102"/>
        <v>916</v>
      </c>
      <c r="DW11" s="43">
        <f t="shared" si="103"/>
        <v>137</v>
      </c>
      <c r="DX11" s="43">
        <f t="shared" si="32"/>
        <v>2012</v>
      </c>
      <c r="DY11">
        <v>9</v>
      </c>
      <c r="DZ11">
        <f t="shared" si="104"/>
        <v>880</v>
      </c>
      <c r="EA11" s="43">
        <f t="shared" si="105"/>
        <v>132</v>
      </c>
      <c r="EB11" s="43">
        <f t="shared" si="33"/>
        <v>1936</v>
      </c>
      <c r="EC11">
        <v>9</v>
      </c>
      <c r="ED11">
        <f t="shared" si="106"/>
        <v>720</v>
      </c>
      <c r="EE11" s="43">
        <f t="shared" si="107"/>
        <v>108</v>
      </c>
      <c r="EF11" s="43">
        <f t="shared" si="34"/>
        <v>1584</v>
      </c>
      <c r="EG11">
        <v>9</v>
      </c>
      <c r="EH11">
        <f t="shared" si="108"/>
        <v>3566</v>
      </c>
      <c r="EI11" s="43">
        <f t="shared" si="109"/>
        <v>535</v>
      </c>
      <c r="EJ11" s="43">
        <f t="shared" si="35"/>
        <v>7846</v>
      </c>
      <c r="EK11" s="43">
        <v>9</v>
      </c>
      <c r="EL11">
        <f t="shared" si="110"/>
        <v>916</v>
      </c>
      <c r="EM11" s="43">
        <f t="shared" si="111"/>
        <v>137</v>
      </c>
      <c r="EN11" s="43">
        <f t="shared" si="36"/>
        <v>2012</v>
      </c>
      <c r="EO11" s="43">
        <v>9</v>
      </c>
      <c r="EP11">
        <f t="shared" si="112"/>
        <v>1010</v>
      </c>
      <c r="EQ11" s="43">
        <f t="shared" si="113"/>
        <v>152</v>
      </c>
      <c r="ER11" s="43">
        <f t="shared" si="37"/>
        <v>2226</v>
      </c>
      <c r="ES11" s="43">
        <v>9</v>
      </c>
      <c r="ET11">
        <f t="shared" si="114"/>
        <v>645</v>
      </c>
      <c r="EU11" s="43">
        <f t="shared" si="115"/>
        <v>97</v>
      </c>
      <c r="EV11" s="43">
        <f t="shared" si="38"/>
        <v>1421</v>
      </c>
      <c r="EW11" s="43">
        <v>9</v>
      </c>
      <c r="EX11">
        <f t="shared" si="116"/>
        <v>3260</v>
      </c>
      <c r="EY11" s="43">
        <f t="shared" si="117"/>
        <v>489</v>
      </c>
      <c r="EZ11" s="43">
        <f t="shared" si="39"/>
        <v>7172</v>
      </c>
      <c r="FA11" s="43">
        <v>9</v>
      </c>
      <c r="FB11">
        <f t="shared" si="118"/>
        <v>916</v>
      </c>
      <c r="FC11" s="43">
        <f t="shared" si="119"/>
        <v>137</v>
      </c>
      <c r="FD11" s="43">
        <f t="shared" si="40"/>
        <v>2012</v>
      </c>
    </row>
    <row r="12" spans="1:160">
      <c r="A12">
        <v>10</v>
      </c>
      <c r="B12">
        <f t="shared" si="41"/>
        <v>869</v>
      </c>
      <c r="C12" s="43">
        <f t="shared" si="42"/>
        <v>130</v>
      </c>
      <c r="D12" s="43">
        <f t="shared" si="0"/>
        <v>2039</v>
      </c>
      <c r="E12">
        <v>10</v>
      </c>
      <c r="F12">
        <f t="shared" si="43"/>
        <v>605</v>
      </c>
      <c r="G12" s="43">
        <f t="shared" si="44"/>
        <v>91</v>
      </c>
      <c r="H12" s="43">
        <f t="shared" si="1"/>
        <v>1424</v>
      </c>
      <c r="I12">
        <v>10</v>
      </c>
      <c r="J12">
        <f t="shared" si="45"/>
        <v>3220</v>
      </c>
      <c r="K12" s="43">
        <f t="shared" si="46"/>
        <v>483</v>
      </c>
      <c r="L12" s="43">
        <f t="shared" si="2"/>
        <v>7567</v>
      </c>
      <c r="M12">
        <v>10</v>
      </c>
      <c r="N12">
        <f t="shared" si="47"/>
        <v>916</v>
      </c>
      <c r="O12" s="43">
        <f t="shared" si="48"/>
        <v>137</v>
      </c>
      <c r="P12" s="43">
        <f t="shared" si="3"/>
        <v>2149</v>
      </c>
      <c r="Q12">
        <v>10</v>
      </c>
      <c r="R12">
        <f t="shared" si="49"/>
        <v>1125</v>
      </c>
      <c r="S12" s="43">
        <f t="shared" si="50"/>
        <v>169</v>
      </c>
      <c r="T12" s="43">
        <f t="shared" si="4"/>
        <v>2646</v>
      </c>
      <c r="U12">
        <v>10</v>
      </c>
      <c r="V12">
        <f t="shared" si="51"/>
        <v>569</v>
      </c>
      <c r="W12" s="43">
        <f t="shared" si="52"/>
        <v>85</v>
      </c>
      <c r="X12" s="43">
        <f t="shared" si="5"/>
        <v>1334</v>
      </c>
      <c r="Y12">
        <v>10</v>
      </c>
      <c r="Z12">
        <f t="shared" si="53"/>
        <v>3004</v>
      </c>
      <c r="AA12" s="43">
        <f t="shared" si="54"/>
        <v>451</v>
      </c>
      <c r="AB12" s="43">
        <f t="shared" si="6"/>
        <v>7063</v>
      </c>
      <c r="AC12">
        <v>10</v>
      </c>
      <c r="AD12">
        <f t="shared" si="55"/>
        <v>916</v>
      </c>
      <c r="AE12" s="43">
        <f t="shared" si="56"/>
        <v>137</v>
      </c>
      <c r="AF12" s="43">
        <f t="shared" si="7"/>
        <v>2149</v>
      </c>
      <c r="AG12">
        <v>10</v>
      </c>
      <c r="AH12">
        <f t="shared" si="57"/>
        <v>1009</v>
      </c>
      <c r="AI12" s="43">
        <f t="shared" si="58"/>
        <v>151</v>
      </c>
      <c r="AJ12" s="43">
        <f t="shared" si="8"/>
        <v>2368</v>
      </c>
      <c r="AK12">
        <v>10</v>
      </c>
      <c r="AL12">
        <f t="shared" si="59"/>
        <v>569</v>
      </c>
      <c r="AM12" s="43">
        <f t="shared" si="60"/>
        <v>85</v>
      </c>
      <c r="AN12" s="43">
        <f t="shared" si="9"/>
        <v>1334</v>
      </c>
      <c r="AO12">
        <v>10</v>
      </c>
      <c r="AP12">
        <f t="shared" si="61"/>
        <v>2836</v>
      </c>
      <c r="AQ12" s="43">
        <f t="shared" si="62"/>
        <v>425</v>
      </c>
      <c r="AR12" s="43">
        <f t="shared" si="10"/>
        <v>6661</v>
      </c>
      <c r="AS12">
        <v>10</v>
      </c>
      <c r="AT12">
        <f t="shared" si="63"/>
        <v>916</v>
      </c>
      <c r="AU12" s="43">
        <f t="shared" si="64"/>
        <v>137</v>
      </c>
      <c r="AV12" s="43">
        <f t="shared" si="11"/>
        <v>2149</v>
      </c>
      <c r="AW12">
        <v>10</v>
      </c>
      <c r="AX12">
        <f t="shared" si="65"/>
        <v>870</v>
      </c>
      <c r="AY12" s="43">
        <f t="shared" si="12"/>
        <v>131</v>
      </c>
      <c r="AZ12" s="43">
        <f t="shared" si="13"/>
        <v>2049</v>
      </c>
      <c r="BA12">
        <v>10</v>
      </c>
      <c r="BB12">
        <f t="shared" si="66"/>
        <v>649</v>
      </c>
      <c r="BC12" s="43">
        <f t="shared" si="67"/>
        <v>97</v>
      </c>
      <c r="BD12" s="43">
        <f t="shared" si="14"/>
        <v>1522</v>
      </c>
      <c r="BE12">
        <v>10</v>
      </c>
      <c r="BF12">
        <f t="shared" si="68"/>
        <v>3269</v>
      </c>
      <c r="BG12" s="43">
        <f t="shared" si="69"/>
        <v>490</v>
      </c>
      <c r="BH12" s="43">
        <f t="shared" si="15"/>
        <v>7679</v>
      </c>
      <c r="BI12">
        <v>10</v>
      </c>
      <c r="BJ12">
        <f t="shared" si="70"/>
        <v>916</v>
      </c>
      <c r="BK12" s="43">
        <f t="shared" si="71"/>
        <v>137</v>
      </c>
      <c r="BL12" s="43">
        <f t="shared" si="16"/>
        <v>2149</v>
      </c>
      <c r="BM12">
        <v>10</v>
      </c>
      <c r="BN12">
        <f t="shared" si="72"/>
        <v>640</v>
      </c>
      <c r="BO12" s="43">
        <f t="shared" si="73"/>
        <v>96</v>
      </c>
      <c r="BP12" s="43">
        <f t="shared" si="17"/>
        <v>1504</v>
      </c>
      <c r="BQ12">
        <v>10</v>
      </c>
      <c r="BR12">
        <f t="shared" si="74"/>
        <v>763</v>
      </c>
      <c r="BS12" s="43">
        <f t="shared" si="75"/>
        <v>114</v>
      </c>
      <c r="BT12" s="43">
        <f t="shared" si="18"/>
        <v>1789</v>
      </c>
      <c r="BU12">
        <v>10</v>
      </c>
      <c r="BV12">
        <f t="shared" si="76"/>
        <v>3865</v>
      </c>
      <c r="BW12" s="43">
        <f t="shared" si="77"/>
        <v>580</v>
      </c>
      <c r="BX12" s="43">
        <f t="shared" si="19"/>
        <v>9085</v>
      </c>
      <c r="BY12">
        <v>10</v>
      </c>
      <c r="BZ12">
        <f t="shared" si="78"/>
        <v>916</v>
      </c>
      <c r="CA12" s="43">
        <f t="shared" si="79"/>
        <v>137</v>
      </c>
      <c r="CB12" s="43">
        <f t="shared" si="20"/>
        <v>2149</v>
      </c>
      <c r="CC12">
        <v>10</v>
      </c>
      <c r="CD12">
        <f t="shared" si="80"/>
        <v>880</v>
      </c>
      <c r="CE12" s="43">
        <f t="shared" si="81"/>
        <v>132</v>
      </c>
      <c r="CF12" s="43">
        <f t="shared" si="21"/>
        <v>2068</v>
      </c>
      <c r="CG12">
        <v>10</v>
      </c>
      <c r="CH12">
        <f t="shared" si="82"/>
        <v>645</v>
      </c>
      <c r="CI12" s="43">
        <f t="shared" si="83"/>
        <v>97</v>
      </c>
      <c r="CJ12" s="43">
        <f t="shared" si="22"/>
        <v>1518</v>
      </c>
      <c r="CK12">
        <v>10</v>
      </c>
      <c r="CL12">
        <f t="shared" si="84"/>
        <v>3260</v>
      </c>
      <c r="CM12" s="43">
        <f t="shared" si="85"/>
        <v>489</v>
      </c>
      <c r="CN12" s="43">
        <f t="shared" si="23"/>
        <v>7661</v>
      </c>
      <c r="CO12">
        <v>10</v>
      </c>
      <c r="CP12">
        <f t="shared" si="86"/>
        <v>916</v>
      </c>
      <c r="CQ12" s="43">
        <f t="shared" si="87"/>
        <v>137</v>
      </c>
      <c r="CR12" s="43">
        <f t="shared" si="24"/>
        <v>2149</v>
      </c>
      <c r="CS12">
        <v>10</v>
      </c>
      <c r="CT12">
        <f t="shared" si="88"/>
        <v>817</v>
      </c>
      <c r="CU12" s="43">
        <f t="shared" si="89"/>
        <v>123</v>
      </c>
      <c r="CV12" s="43">
        <f t="shared" si="25"/>
        <v>1924</v>
      </c>
      <c r="CW12">
        <v>10</v>
      </c>
      <c r="CX12">
        <f t="shared" si="90"/>
        <v>645</v>
      </c>
      <c r="CY12" s="43">
        <f t="shared" si="91"/>
        <v>97</v>
      </c>
      <c r="CZ12" s="43">
        <f t="shared" si="26"/>
        <v>1518</v>
      </c>
      <c r="DA12">
        <v>10</v>
      </c>
      <c r="DB12">
        <f t="shared" si="92"/>
        <v>3120</v>
      </c>
      <c r="DC12" s="43">
        <f t="shared" si="93"/>
        <v>468</v>
      </c>
      <c r="DD12" s="43">
        <f t="shared" si="27"/>
        <v>7332</v>
      </c>
      <c r="DE12">
        <v>10</v>
      </c>
      <c r="DF12">
        <f t="shared" si="94"/>
        <v>916</v>
      </c>
      <c r="DG12" s="43">
        <f t="shared" si="95"/>
        <v>137</v>
      </c>
      <c r="DH12" s="43">
        <f t="shared" si="28"/>
        <v>2149</v>
      </c>
      <c r="DI12">
        <v>10</v>
      </c>
      <c r="DJ12">
        <f t="shared" si="96"/>
        <v>760</v>
      </c>
      <c r="DK12" s="43">
        <f t="shared" si="97"/>
        <v>114</v>
      </c>
      <c r="DL12" s="43">
        <f t="shared" si="29"/>
        <v>1786</v>
      </c>
      <c r="DM12">
        <v>10</v>
      </c>
      <c r="DN12">
        <f t="shared" si="98"/>
        <v>690</v>
      </c>
      <c r="DO12" s="43">
        <f t="shared" si="99"/>
        <v>104</v>
      </c>
      <c r="DP12" s="43">
        <f t="shared" si="30"/>
        <v>1626</v>
      </c>
      <c r="DQ12">
        <v>10</v>
      </c>
      <c r="DR12">
        <f t="shared" si="100"/>
        <v>3930</v>
      </c>
      <c r="DS12" s="43">
        <f t="shared" si="101"/>
        <v>590</v>
      </c>
      <c r="DT12" s="43">
        <f t="shared" si="31"/>
        <v>9240</v>
      </c>
      <c r="DU12">
        <v>10</v>
      </c>
      <c r="DV12">
        <f t="shared" si="102"/>
        <v>916</v>
      </c>
      <c r="DW12" s="43">
        <f t="shared" si="103"/>
        <v>137</v>
      </c>
      <c r="DX12" s="43">
        <f t="shared" si="32"/>
        <v>2149</v>
      </c>
      <c r="DY12">
        <v>10</v>
      </c>
      <c r="DZ12">
        <f t="shared" si="104"/>
        <v>880</v>
      </c>
      <c r="EA12" s="43">
        <f t="shared" si="105"/>
        <v>132</v>
      </c>
      <c r="EB12" s="43">
        <f t="shared" si="33"/>
        <v>2068</v>
      </c>
      <c r="EC12">
        <v>10</v>
      </c>
      <c r="ED12">
        <f t="shared" si="106"/>
        <v>720</v>
      </c>
      <c r="EE12" s="43">
        <f t="shared" si="107"/>
        <v>108</v>
      </c>
      <c r="EF12" s="43">
        <f t="shared" si="34"/>
        <v>1692</v>
      </c>
      <c r="EG12">
        <v>10</v>
      </c>
      <c r="EH12">
        <f t="shared" si="108"/>
        <v>3566</v>
      </c>
      <c r="EI12" s="43">
        <f t="shared" si="109"/>
        <v>535</v>
      </c>
      <c r="EJ12" s="43">
        <f t="shared" si="35"/>
        <v>8381</v>
      </c>
      <c r="EK12">
        <v>10</v>
      </c>
      <c r="EL12">
        <f t="shared" si="110"/>
        <v>916</v>
      </c>
      <c r="EM12" s="43">
        <f t="shared" si="111"/>
        <v>137</v>
      </c>
      <c r="EN12" s="43">
        <f t="shared" si="36"/>
        <v>2149</v>
      </c>
      <c r="EO12">
        <v>10</v>
      </c>
      <c r="EP12">
        <f t="shared" si="112"/>
        <v>1010</v>
      </c>
      <c r="EQ12" s="43">
        <f t="shared" si="113"/>
        <v>152</v>
      </c>
      <c r="ER12" s="43">
        <f t="shared" si="37"/>
        <v>2378</v>
      </c>
      <c r="ES12">
        <v>10</v>
      </c>
      <c r="ET12">
        <f t="shared" si="114"/>
        <v>645</v>
      </c>
      <c r="EU12" s="43">
        <f t="shared" si="115"/>
        <v>97</v>
      </c>
      <c r="EV12" s="43">
        <f t="shared" si="38"/>
        <v>1518</v>
      </c>
      <c r="EW12">
        <v>10</v>
      </c>
      <c r="EX12">
        <f t="shared" si="116"/>
        <v>3260</v>
      </c>
      <c r="EY12" s="43">
        <f t="shared" si="117"/>
        <v>489</v>
      </c>
      <c r="EZ12" s="43">
        <f t="shared" si="39"/>
        <v>7661</v>
      </c>
      <c r="FA12">
        <v>10</v>
      </c>
      <c r="FB12">
        <f t="shared" si="118"/>
        <v>916</v>
      </c>
      <c r="FC12" s="43">
        <f t="shared" si="119"/>
        <v>137</v>
      </c>
      <c r="FD12" s="43">
        <f t="shared" si="40"/>
        <v>2149</v>
      </c>
    </row>
    <row r="13" spans="1:160">
      <c r="A13">
        <v>11</v>
      </c>
      <c r="B13">
        <f t="shared" si="41"/>
        <v>869</v>
      </c>
      <c r="C13" s="43">
        <f t="shared" si="42"/>
        <v>130</v>
      </c>
      <c r="D13" s="43">
        <f t="shared" si="0"/>
        <v>2169</v>
      </c>
      <c r="E13">
        <v>11</v>
      </c>
      <c r="F13">
        <f t="shared" si="43"/>
        <v>605</v>
      </c>
      <c r="G13" s="43">
        <f t="shared" si="44"/>
        <v>91</v>
      </c>
      <c r="H13" s="43">
        <f t="shared" si="1"/>
        <v>1515</v>
      </c>
      <c r="I13" s="43">
        <v>11</v>
      </c>
      <c r="J13">
        <f t="shared" si="45"/>
        <v>3220</v>
      </c>
      <c r="K13" s="43">
        <f t="shared" si="46"/>
        <v>483</v>
      </c>
      <c r="L13" s="43">
        <f t="shared" si="2"/>
        <v>8050</v>
      </c>
      <c r="M13" s="43">
        <v>11</v>
      </c>
      <c r="N13">
        <f t="shared" si="47"/>
        <v>916</v>
      </c>
      <c r="O13" s="43">
        <f t="shared" si="48"/>
        <v>137</v>
      </c>
      <c r="P13" s="43">
        <f t="shared" si="3"/>
        <v>2286</v>
      </c>
      <c r="Q13">
        <v>11</v>
      </c>
      <c r="R13">
        <f t="shared" si="49"/>
        <v>1125</v>
      </c>
      <c r="S13" s="43">
        <f t="shared" si="50"/>
        <v>169</v>
      </c>
      <c r="T13" s="43">
        <f t="shared" si="4"/>
        <v>2815</v>
      </c>
      <c r="U13">
        <v>11</v>
      </c>
      <c r="V13">
        <f t="shared" si="51"/>
        <v>569</v>
      </c>
      <c r="W13" s="43">
        <f t="shared" si="52"/>
        <v>85</v>
      </c>
      <c r="X13" s="43">
        <f t="shared" si="5"/>
        <v>1419</v>
      </c>
      <c r="Y13">
        <v>11</v>
      </c>
      <c r="Z13">
        <f t="shared" si="53"/>
        <v>3004</v>
      </c>
      <c r="AA13" s="43">
        <f t="shared" si="54"/>
        <v>451</v>
      </c>
      <c r="AB13" s="43">
        <f t="shared" si="6"/>
        <v>7514</v>
      </c>
      <c r="AC13" s="43">
        <v>11</v>
      </c>
      <c r="AD13">
        <f t="shared" si="55"/>
        <v>916</v>
      </c>
      <c r="AE13" s="43">
        <f t="shared" si="56"/>
        <v>137</v>
      </c>
      <c r="AF13" s="43">
        <f t="shared" si="7"/>
        <v>2286</v>
      </c>
      <c r="AG13" s="43">
        <v>11</v>
      </c>
      <c r="AH13">
        <f t="shared" si="57"/>
        <v>1009</v>
      </c>
      <c r="AI13" s="43">
        <f t="shared" si="58"/>
        <v>151</v>
      </c>
      <c r="AJ13" s="43">
        <f t="shared" si="8"/>
        <v>2519</v>
      </c>
      <c r="AK13" s="43">
        <v>11</v>
      </c>
      <c r="AL13">
        <f t="shared" si="59"/>
        <v>569</v>
      </c>
      <c r="AM13" s="43">
        <f t="shared" si="60"/>
        <v>85</v>
      </c>
      <c r="AN13" s="43">
        <f t="shared" si="9"/>
        <v>1419</v>
      </c>
      <c r="AO13" s="43">
        <v>11</v>
      </c>
      <c r="AP13">
        <f t="shared" si="61"/>
        <v>2836</v>
      </c>
      <c r="AQ13" s="43">
        <f t="shared" si="62"/>
        <v>425</v>
      </c>
      <c r="AR13" s="43">
        <f t="shared" si="10"/>
        <v>7086</v>
      </c>
      <c r="AS13" s="43">
        <v>11</v>
      </c>
      <c r="AT13">
        <f t="shared" si="63"/>
        <v>916</v>
      </c>
      <c r="AU13" s="43">
        <f t="shared" si="64"/>
        <v>137</v>
      </c>
      <c r="AV13" s="43">
        <f t="shared" si="11"/>
        <v>2286</v>
      </c>
      <c r="AW13">
        <v>11</v>
      </c>
      <c r="AX13">
        <f t="shared" si="65"/>
        <v>870</v>
      </c>
      <c r="AY13" s="43">
        <f t="shared" si="12"/>
        <v>131</v>
      </c>
      <c r="AZ13" s="43">
        <f t="shared" si="13"/>
        <v>2180</v>
      </c>
      <c r="BA13">
        <v>11</v>
      </c>
      <c r="BB13">
        <f t="shared" si="66"/>
        <v>649</v>
      </c>
      <c r="BC13" s="43">
        <f t="shared" si="67"/>
        <v>97</v>
      </c>
      <c r="BD13" s="43">
        <f t="shared" si="14"/>
        <v>1619</v>
      </c>
      <c r="BE13">
        <v>11</v>
      </c>
      <c r="BF13">
        <f t="shared" si="68"/>
        <v>3269</v>
      </c>
      <c r="BG13" s="43">
        <f t="shared" si="69"/>
        <v>490</v>
      </c>
      <c r="BH13" s="43">
        <f t="shared" si="15"/>
        <v>8169</v>
      </c>
      <c r="BI13" s="43">
        <v>11</v>
      </c>
      <c r="BJ13">
        <f t="shared" si="70"/>
        <v>916</v>
      </c>
      <c r="BK13" s="43">
        <f t="shared" si="71"/>
        <v>137</v>
      </c>
      <c r="BL13" s="43">
        <f t="shared" si="16"/>
        <v>2286</v>
      </c>
      <c r="BM13" s="43">
        <v>11</v>
      </c>
      <c r="BN13">
        <f t="shared" si="72"/>
        <v>640</v>
      </c>
      <c r="BO13" s="43">
        <f t="shared" si="73"/>
        <v>96</v>
      </c>
      <c r="BP13" s="43">
        <f t="shared" si="17"/>
        <v>1600</v>
      </c>
      <c r="BQ13" s="43">
        <v>11</v>
      </c>
      <c r="BR13">
        <f t="shared" si="74"/>
        <v>763</v>
      </c>
      <c r="BS13" s="43">
        <f t="shared" si="75"/>
        <v>114</v>
      </c>
      <c r="BT13" s="43">
        <f t="shared" si="18"/>
        <v>1903</v>
      </c>
      <c r="BU13" s="43">
        <v>11</v>
      </c>
      <c r="BV13">
        <f t="shared" si="76"/>
        <v>3865</v>
      </c>
      <c r="BW13" s="43">
        <f t="shared" si="77"/>
        <v>580</v>
      </c>
      <c r="BX13" s="43">
        <f t="shared" si="19"/>
        <v>9665</v>
      </c>
      <c r="BY13" s="43">
        <v>11</v>
      </c>
      <c r="BZ13">
        <f t="shared" si="78"/>
        <v>916</v>
      </c>
      <c r="CA13" s="43">
        <f t="shared" si="79"/>
        <v>137</v>
      </c>
      <c r="CB13" s="43">
        <f t="shared" si="20"/>
        <v>2286</v>
      </c>
      <c r="CC13">
        <v>11</v>
      </c>
      <c r="CD13">
        <f t="shared" si="80"/>
        <v>880</v>
      </c>
      <c r="CE13" s="43">
        <f t="shared" si="81"/>
        <v>132</v>
      </c>
      <c r="CF13" s="43">
        <f t="shared" si="21"/>
        <v>2200</v>
      </c>
      <c r="CG13">
        <v>11</v>
      </c>
      <c r="CH13">
        <f t="shared" si="82"/>
        <v>645</v>
      </c>
      <c r="CI13" s="43">
        <f t="shared" si="83"/>
        <v>97</v>
      </c>
      <c r="CJ13" s="43">
        <f t="shared" si="22"/>
        <v>1615</v>
      </c>
      <c r="CK13">
        <v>11</v>
      </c>
      <c r="CL13">
        <f t="shared" si="84"/>
        <v>3260</v>
      </c>
      <c r="CM13" s="43">
        <f t="shared" si="85"/>
        <v>489</v>
      </c>
      <c r="CN13" s="43">
        <f t="shared" si="23"/>
        <v>8150</v>
      </c>
      <c r="CO13" s="43">
        <v>11</v>
      </c>
      <c r="CP13">
        <f t="shared" si="86"/>
        <v>916</v>
      </c>
      <c r="CQ13" s="43">
        <f t="shared" si="87"/>
        <v>137</v>
      </c>
      <c r="CR13" s="43">
        <f t="shared" si="24"/>
        <v>2286</v>
      </c>
      <c r="CS13" s="43">
        <v>11</v>
      </c>
      <c r="CT13">
        <f t="shared" si="88"/>
        <v>817</v>
      </c>
      <c r="CU13" s="43">
        <f t="shared" si="89"/>
        <v>123</v>
      </c>
      <c r="CV13" s="43">
        <f t="shared" si="25"/>
        <v>2047</v>
      </c>
      <c r="CW13" s="43">
        <v>11</v>
      </c>
      <c r="CX13">
        <f t="shared" si="90"/>
        <v>645</v>
      </c>
      <c r="CY13" s="43">
        <f t="shared" si="91"/>
        <v>97</v>
      </c>
      <c r="CZ13" s="43">
        <f t="shared" si="26"/>
        <v>1615</v>
      </c>
      <c r="DA13" s="43">
        <v>11</v>
      </c>
      <c r="DB13">
        <f t="shared" si="92"/>
        <v>3120</v>
      </c>
      <c r="DC13" s="43">
        <f t="shared" si="93"/>
        <v>468</v>
      </c>
      <c r="DD13" s="43">
        <f t="shared" si="27"/>
        <v>7800</v>
      </c>
      <c r="DE13" s="43">
        <v>11</v>
      </c>
      <c r="DF13">
        <f t="shared" si="94"/>
        <v>916</v>
      </c>
      <c r="DG13" s="43">
        <f t="shared" si="95"/>
        <v>137</v>
      </c>
      <c r="DH13" s="43">
        <f t="shared" si="28"/>
        <v>2286</v>
      </c>
      <c r="DI13" s="43">
        <v>11</v>
      </c>
      <c r="DJ13">
        <f t="shared" si="96"/>
        <v>760</v>
      </c>
      <c r="DK13" s="43">
        <f t="shared" si="97"/>
        <v>114</v>
      </c>
      <c r="DL13" s="43">
        <f t="shared" si="29"/>
        <v>1900</v>
      </c>
      <c r="DM13" s="43">
        <v>11</v>
      </c>
      <c r="DN13">
        <f t="shared" si="98"/>
        <v>690</v>
      </c>
      <c r="DO13" s="43">
        <f t="shared" si="99"/>
        <v>104</v>
      </c>
      <c r="DP13" s="43">
        <f t="shared" si="30"/>
        <v>1730</v>
      </c>
      <c r="DQ13" s="43">
        <v>11</v>
      </c>
      <c r="DR13">
        <f t="shared" si="100"/>
        <v>3930</v>
      </c>
      <c r="DS13" s="43">
        <f t="shared" si="101"/>
        <v>590</v>
      </c>
      <c r="DT13" s="43">
        <f t="shared" si="31"/>
        <v>9830</v>
      </c>
      <c r="DU13" s="43">
        <v>11</v>
      </c>
      <c r="DV13">
        <f t="shared" si="102"/>
        <v>916</v>
      </c>
      <c r="DW13" s="43">
        <f t="shared" si="103"/>
        <v>137</v>
      </c>
      <c r="DX13" s="43">
        <f t="shared" si="32"/>
        <v>2286</v>
      </c>
      <c r="DY13">
        <v>11</v>
      </c>
      <c r="DZ13">
        <f t="shared" si="104"/>
        <v>880</v>
      </c>
      <c r="EA13" s="43">
        <f t="shared" si="105"/>
        <v>132</v>
      </c>
      <c r="EB13" s="43">
        <f t="shared" si="33"/>
        <v>2200</v>
      </c>
      <c r="EC13">
        <v>11</v>
      </c>
      <c r="ED13">
        <f t="shared" si="106"/>
        <v>720</v>
      </c>
      <c r="EE13" s="43">
        <f t="shared" si="107"/>
        <v>108</v>
      </c>
      <c r="EF13" s="43">
        <f t="shared" si="34"/>
        <v>1800</v>
      </c>
      <c r="EG13">
        <v>11</v>
      </c>
      <c r="EH13">
        <f t="shared" si="108"/>
        <v>3566</v>
      </c>
      <c r="EI13" s="43">
        <f t="shared" si="109"/>
        <v>535</v>
      </c>
      <c r="EJ13" s="43">
        <f t="shared" si="35"/>
        <v>8916</v>
      </c>
      <c r="EK13" s="43">
        <v>11</v>
      </c>
      <c r="EL13">
        <f t="shared" si="110"/>
        <v>916</v>
      </c>
      <c r="EM13" s="43">
        <f t="shared" si="111"/>
        <v>137</v>
      </c>
      <c r="EN13" s="43">
        <f t="shared" si="36"/>
        <v>2286</v>
      </c>
      <c r="EO13" s="43">
        <v>11</v>
      </c>
      <c r="EP13">
        <f t="shared" si="112"/>
        <v>1010</v>
      </c>
      <c r="EQ13" s="43">
        <f t="shared" si="113"/>
        <v>152</v>
      </c>
      <c r="ER13" s="43">
        <f t="shared" si="37"/>
        <v>2530</v>
      </c>
      <c r="ES13" s="43">
        <v>11</v>
      </c>
      <c r="ET13">
        <f t="shared" si="114"/>
        <v>645</v>
      </c>
      <c r="EU13" s="43">
        <f t="shared" si="115"/>
        <v>97</v>
      </c>
      <c r="EV13" s="43">
        <f t="shared" si="38"/>
        <v>1615</v>
      </c>
      <c r="EW13" s="43">
        <v>11</v>
      </c>
      <c r="EX13">
        <f t="shared" si="116"/>
        <v>3260</v>
      </c>
      <c r="EY13" s="43">
        <f t="shared" si="117"/>
        <v>489</v>
      </c>
      <c r="EZ13" s="43">
        <f t="shared" si="39"/>
        <v>8150</v>
      </c>
      <c r="FA13" s="43">
        <v>11</v>
      </c>
      <c r="FB13">
        <f t="shared" si="118"/>
        <v>916</v>
      </c>
      <c r="FC13" s="43">
        <f t="shared" si="119"/>
        <v>137</v>
      </c>
      <c r="FD13" s="43">
        <f t="shared" si="40"/>
        <v>2286</v>
      </c>
    </row>
    <row r="14" spans="1:160">
      <c r="A14">
        <v>12</v>
      </c>
      <c r="B14">
        <f t="shared" si="41"/>
        <v>869</v>
      </c>
      <c r="C14" s="43">
        <f t="shared" si="42"/>
        <v>130</v>
      </c>
      <c r="D14" s="43">
        <f t="shared" si="0"/>
        <v>2299</v>
      </c>
      <c r="E14">
        <v>12</v>
      </c>
      <c r="F14">
        <f t="shared" si="43"/>
        <v>605</v>
      </c>
      <c r="G14" s="43">
        <f t="shared" si="44"/>
        <v>91</v>
      </c>
      <c r="H14" s="43">
        <f t="shared" si="1"/>
        <v>1606</v>
      </c>
      <c r="I14">
        <v>12</v>
      </c>
      <c r="J14">
        <f t="shared" si="45"/>
        <v>3220</v>
      </c>
      <c r="K14" s="43">
        <f t="shared" si="46"/>
        <v>483</v>
      </c>
      <c r="L14" s="43">
        <f t="shared" si="2"/>
        <v>8533</v>
      </c>
      <c r="M14">
        <v>12</v>
      </c>
      <c r="N14">
        <f t="shared" si="47"/>
        <v>916</v>
      </c>
      <c r="O14" s="43">
        <f t="shared" si="48"/>
        <v>137</v>
      </c>
      <c r="P14" s="43">
        <f t="shared" si="3"/>
        <v>2423</v>
      </c>
      <c r="Q14">
        <v>12</v>
      </c>
      <c r="R14">
        <f t="shared" si="49"/>
        <v>1125</v>
      </c>
      <c r="S14" s="43">
        <f t="shared" si="50"/>
        <v>169</v>
      </c>
      <c r="T14" s="43">
        <f t="shared" si="4"/>
        <v>2984</v>
      </c>
      <c r="U14">
        <v>12</v>
      </c>
      <c r="V14">
        <f t="shared" si="51"/>
        <v>569</v>
      </c>
      <c r="W14" s="43">
        <f t="shared" si="52"/>
        <v>85</v>
      </c>
      <c r="X14" s="43">
        <f t="shared" si="5"/>
        <v>1504</v>
      </c>
      <c r="Y14">
        <v>12</v>
      </c>
      <c r="Z14">
        <f t="shared" si="53"/>
        <v>3004</v>
      </c>
      <c r="AA14" s="43">
        <f t="shared" si="54"/>
        <v>451</v>
      </c>
      <c r="AB14" s="43">
        <f t="shared" si="6"/>
        <v>7965</v>
      </c>
      <c r="AC14">
        <v>12</v>
      </c>
      <c r="AD14">
        <f t="shared" si="55"/>
        <v>916</v>
      </c>
      <c r="AE14" s="43">
        <f t="shared" si="56"/>
        <v>137</v>
      </c>
      <c r="AF14" s="43">
        <f t="shared" si="7"/>
        <v>2423</v>
      </c>
      <c r="AG14">
        <v>12</v>
      </c>
      <c r="AH14">
        <f t="shared" si="57"/>
        <v>1009</v>
      </c>
      <c r="AI14" s="43">
        <f t="shared" si="58"/>
        <v>151</v>
      </c>
      <c r="AJ14" s="43">
        <f t="shared" si="8"/>
        <v>2670</v>
      </c>
      <c r="AK14">
        <v>12</v>
      </c>
      <c r="AL14">
        <f t="shared" si="59"/>
        <v>569</v>
      </c>
      <c r="AM14" s="43">
        <f t="shared" si="60"/>
        <v>85</v>
      </c>
      <c r="AN14" s="43">
        <f t="shared" si="9"/>
        <v>1504</v>
      </c>
      <c r="AO14">
        <v>12</v>
      </c>
      <c r="AP14">
        <f t="shared" si="61"/>
        <v>2836</v>
      </c>
      <c r="AQ14" s="43">
        <f t="shared" si="62"/>
        <v>425</v>
      </c>
      <c r="AR14" s="43">
        <f t="shared" si="10"/>
        <v>7511</v>
      </c>
      <c r="AS14">
        <v>12</v>
      </c>
      <c r="AT14">
        <f t="shared" si="63"/>
        <v>916</v>
      </c>
      <c r="AU14" s="43">
        <f t="shared" si="64"/>
        <v>137</v>
      </c>
      <c r="AV14" s="43">
        <f t="shared" si="11"/>
        <v>2423</v>
      </c>
      <c r="AW14">
        <v>12</v>
      </c>
      <c r="AX14">
        <f t="shared" si="65"/>
        <v>870</v>
      </c>
      <c r="AY14" s="43">
        <f t="shared" si="12"/>
        <v>131</v>
      </c>
      <c r="AZ14" s="43">
        <f t="shared" si="13"/>
        <v>2311</v>
      </c>
      <c r="BA14">
        <v>12</v>
      </c>
      <c r="BB14">
        <f t="shared" si="66"/>
        <v>649</v>
      </c>
      <c r="BC14" s="43">
        <f t="shared" si="67"/>
        <v>97</v>
      </c>
      <c r="BD14" s="43">
        <f t="shared" si="14"/>
        <v>1716</v>
      </c>
      <c r="BE14">
        <v>12</v>
      </c>
      <c r="BF14">
        <f t="shared" si="68"/>
        <v>3269</v>
      </c>
      <c r="BG14" s="43">
        <f t="shared" si="69"/>
        <v>490</v>
      </c>
      <c r="BH14" s="43">
        <f t="shared" si="15"/>
        <v>8659</v>
      </c>
      <c r="BI14">
        <v>12</v>
      </c>
      <c r="BJ14">
        <f t="shared" si="70"/>
        <v>916</v>
      </c>
      <c r="BK14" s="43">
        <f t="shared" si="71"/>
        <v>137</v>
      </c>
      <c r="BL14" s="43">
        <f t="shared" si="16"/>
        <v>2423</v>
      </c>
      <c r="BM14">
        <v>12</v>
      </c>
      <c r="BN14">
        <f t="shared" si="72"/>
        <v>640</v>
      </c>
      <c r="BO14" s="43">
        <f t="shared" si="73"/>
        <v>96</v>
      </c>
      <c r="BP14" s="43">
        <f t="shared" si="17"/>
        <v>1696</v>
      </c>
      <c r="BQ14">
        <v>12</v>
      </c>
      <c r="BR14">
        <f t="shared" si="74"/>
        <v>763</v>
      </c>
      <c r="BS14" s="43">
        <f t="shared" si="75"/>
        <v>114</v>
      </c>
      <c r="BT14" s="43">
        <f t="shared" si="18"/>
        <v>2017</v>
      </c>
      <c r="BU14">
        <v>12</v>
      </c>
      <c r="BV14">
        <f t="shared" si="76"/>
        <v>3865</v>
      </c>
      <c r="BW14" s="43">
        <f t="shared" si="77"/>
        <v>580</v>
      </c>
      <c r="BX14" s="43">
        <f t="shared" si="19"/>
        <v>10245</v>
      </c>
      <c r="BY14">
        <v>12</v>
      </c>
      <c r="BZ14">
        <f t="shared" si="78"/>
        <v>916</v>
      </c>
      <c r="CA14" s="43">
        <f t="shared" si="79"/>
        <v>137</v>
      </c>
      <c r="CB14" s="43">
        <f t="shared" si="20"/>
        <v>2423</v>
      </c>
      <c r="CC14">
        <v>12</v>
      </c>
      <c r="CD14">
        <f t="shared" si="80"/>
        <v>880</v>
      </c>
      <c r="CE14" s="43">
        <f t="shared" si="81"/>
        <v>132</v>
      </c>
      <c r="CF14" s="43">
        <f t="shared" si="21"/>
        <v>2332</v>
      </c>
      <c r="CG14">
        <v>12</v>
      </c>
      <c r="CH14">
        <f t="shared" si="82"/>
        <v>645</v>
      </c>
      <c r="CI14" s="43">
        <f t="shared" si="83"/>
        <v>97</v>
      </c>
      <c r="CJ14" s="43">
        <f t="shared" si="22"/>
        <v>1712</v>
      </c>
      <c r="CK14">
        <v>12</v>
      </c>
      <c r="CL14">
        <f t="shared" si="84"/>
        <v>3260</v>
      </c>
      <c r="CM14" s="43">
        <f t="shared" si="85"/>
        <v>489</v>
      </c>
      <c r="CN14" s="43">
        <f t="shared" si="23"/>
        <v>8639</v>
      </c>
      <c r="CO14">
        <v>12</v>
      </c>
      <c r="CP14">
        <f t="shared" si="86"/>
        <v>916</v>
      </c>
      <c r="CQ14" s="43">
        <f t="shared" si="87"/>
        <v>137</v>
      </c>
      <c r="CR14" s="43">
        <f t="shared" si="24"/>
        <v>2423</v>
      </c>
      <c r="CS14">
        <v>12</v>
      </c>
      <c r="CT14">
        <f t="shared" si="88"/>
        <v>817</v>
      </c>
      <c r="CU14" s="43">
        <f t="shared" si="89"/>
        <v>123</v>
      </c>
      <c r="CV14" s="43">
        <f t="shared" si="25"/>
        <v>2170</v>
      </c>
      <c r="CW14">
        <v>12</v>
      </c>
      <c r="CX14">
        <f t="shared" si="90"/>
        <v>645</v>
      </c>
      <c r="CY14" s="43">
        <f t="shared" si="91"/>
        <v>97</v>
      </c>
      <c r="CZ14" s="43">
        <f t="shared" si="26"/>
        <v>1712</v>
      </c>
      <c r="DA14">
        <v>12</v>
      </c>
      <c r="DB14">
        <f t="shared" si="92"/>
        <v>3120</v>
      </c>
      <c r="DC14" s="43">
        <f t="shared" si="93"/>
        <v>468</v>
      </c>
      <c r="DD14" s="43">
        <f t="shared" si="27"/>
        <v>8268</v>
      </c>
      <c r="DE14">
        <v>12</v>
      </c>
      <c r="DF14">
        <f t="shared" si="94"/>
        <v>916</v>
      </c>
      <c r="DG14" s="43">
        <f t="shared" si="95"/>
        <v>137</v>
      </c>
      <c r="DH14" s="43">
        <f t="shared" si="28"/>
        <v>2423</v>
      </c>
      <c r="DI14">
        <v>12</v>
      </c>
      <c r="DJ14">
        <f t="shared" si="96"/>
        <v>760</v>
      </c>
      <c r="DK14" s="43">
        <f t="shared" si="97"/>
        <v>114</v>
      </c>
      <c r="DL14" s="43">
        <f t="shared" si="29"/>
        <v>2014</v>
      </c>
      <c r="DM14">
        <v>12</v>
      </c>
      <c r="DN14">
        <f t="shared" si="98"/>
        <v>690</v>
      </c>
      <c r="DO14" s="43">
        <f t="shared" si="99"/>
        <v>104</v>
      </c>
      <c r="DP14" s="43">
        <f t="shared" si="30"/>
        <v>1834</v>
      </c>
      <c r="DQ14">
        <v>12</v>
      </c>
      <c r="DR14">
        <f t="shared" si="100"/>
        <v>3930</v>
      </c>
      <c r="DS14" s="43">
        <f t="shared" si="101"/>
        <v>590</v>
      </c>
      <c r="DT14" s="43">
        <f t="shared" si="31"/>
        <v>10420</v>
      </c>
      <c r="DU14">
        <v>12</v>
      </c>
      <c r="DV14">
        <f t="shared" si="102"/>
        <v>916</v>
      </c>
      <c r="DW14" s="43">
        <f t="shared" si="103"/>
        <v>137</v>
      </c>
      <c r="DX14" s="43">
        <f t="shared" si="32"/>
        <v>2423</v>
      </c>
      <c r="DY14">
        <v>12</v>
      </c>
      <c r="DZ14">
        <f t="shared" si="104"/>
        <v>880</v>
      </c>
      <c r="EA14" s="43">
        <f t="shared" si="105"/>
        <v>132</v>
      </c>
      <c r="EB14" s="43">
        <f t="shared" si="33"/>
        <v>2332</v>
      </c>
      <c r="EC14">
        <v>12</v>
      </c>
      <c r="ED14">
        <f t="shared" si="106"/>
        <v>720</v>
      </c>
      <c r="EE14" s="43">
        <f t="shared" si="107"/>
        <v>108</v>
      </c>
      <c r="EF14" s="43">
        <f t="shared" si="34"/>
        <v>1908</v>
      </c>
      <c r="EG14">
        <v>12</v>
      </c>
      <c r="EH14">
        <f t="shared" si="108"/>
        <v>3566</v>
      </c>
      <c r="EI14" s="43">
        <f t="shared" si="109"/>
        <v>535</v>
      </c>
      <c r="EJ14" s="43">
        <f t="shared" si="35"/>
        <v>9451</v>
      </c>
      <c r="EK14">
        <v>12</v>
      </c>
      <c r="EL14">
        <f t="shared" si="110"/>
        <v>916</v>
      </c>
      <c r="EM14" s="43">
        <f t="shared" si="111"/>
        <v>137</v>
      </c>
      <c r="EN14" s="43">
        <f t="shared" si="36"/>
        <v>2423</v>
      </c>
      <c r="EO14">
        <v>12</v>
      </c>
      <c r="EP14">
        <f t="shared" si="112"/>
        <v>1010</v>
      </c>
      <c r="EQ14" s="43">
        <f t="shared" si="113"/>
        <v>152</v>
      </c>
      <c r="ER14" s="43">
        <f t="shared" si="37"/>
        <v>2682</v>
      </c>
      <c r="ES14">
        <v>12</v>
      </c>
      <c r="ET14">
        <f t="shared" si="114"/>
        <v>645</v>
      </c>
      <c r="EU14" s="43">
        <f t="shared" si="115"/>
        <v>97</v>
      </c>
      <c r="EV14" s="43">
        <f t="shared" si="38"/>
        <v>1712</v>
      </c>
      <c r="EW14">
        <v>12</v>
      </c>
      <c r="EX14">
        <f t="shared" si="116"/>
        <v>3260</v>
      </c>
      <c r="EY14" s="43">
        <f t="shared" si="117"/>
        <v>489</v>
      </c>
      <c r="EZ14" s="43">
        <f t="shared" si="39"/>
        <v>8639</v>
      </c>
      <c r="FA14">
        <v>12</v>
      </c>
      <c r="FB14">
        <f t="shared" si="118"/>
        <v>916</v>
      </c>
      <c r="FC14" s="43">
        <f t="shared" si="119"/>
        <v>137</v>
      </c>
      <c r="FD14" s="43">
        <f t="shared" si="40"/>
        <v>2423</v>
      </c>
    </row>
    <row r="15" spans="1:160">
      <c r="A15">
        <v>13</v>
      </c>
      <c r="B15">
        <f t="shared" si="41"/>
        <v>869</v>
      </c>
      <c r="C15" s="43">
        <f t="shared" si="42"/>
        <v>130</v>
      </c>
      <c r="D15" s="43">
        <f t="shared" si="0"/>
        <v>2429</v>
      </c>
      <c r="E15">
        <v>13</v>
      </c>
      <c r="F15">
        <f t="shared" si="43"/>
        <v>605</v>
      </c>
      <c r="G15" s="43">
        <f t="shared" si="44"/>
        <v>91</v>
      </c>
      <c r="H15" s="43">
        <f t="shared" si="1"/>
        <v>1697</v>
      </c>
      <c r="I15" s="43">
        <v>13</v>
      </c>
      <c r="J15">
        <f t="shared" si="45"/>
        <v>3220</v>
      </c>
      <c r="K15" s="43">
        <f t="shared" si="46"/>
        <v>483</v>
      </c>
      <c r="L15" s="43">
        <f t="shared" si="2"/>
        <v>9016</v>
      </c>
      <c r="M15" s="43">
        <v>13</v>
      </c>
      <c r="N15">
        <f t="shared" si="47"/>
        <v>916</v>
      </c>
      <c r="O15" s="43">
        <f t="shared" si="48"/>
        <v>137</v>
      </c>
      <c r="P15" s="43">
        <f t="shared" si="3"/>
        <v>2560</v>
      </c>
      <c r="Q15">
        <v>13</v>
      </c>
      <c r="R15">
        <f t="shared" si="49"/>
        <v>1125</v>
      </c>
      <c r="S15" s="43">
        <f t="shared" si="50"/>
        <v>169</v>
      </c>
      <c r="T15" s="43">
        <f t="shared" si="4"/>
        <v>3153</v>
      </c>
      <c r="U15">
        <v>13</v>
      </c>
      <c r="V15">
        <f t="shared" si="51"/>
        <v>569</v>
      </c>
      <c r="W15" s="43">
        <f t="shared" si="52"/>
        <v>85</v>
      </c>
      <c r="X15" s="43">
        <f t="shared" si="5"/>
        <v>1589</v>
      </c>
      <c r="Y15">
        <v>13</v>
      </c>
      <c r="Z15">
        <f t="shared" si="53"/>
        <v>3004</v>
      </c>
      <c r="AA15" s="43">
        <f t="shared" si="54"/>
        <v>451</v>
      </c>
      <c r="AB15" s="43">
        <f t="shared" si="6"/>
        <v>8416</v>
      </c>
      <c r="AC15" s="43">
        <v>13</v>
      </c>
      <c r="AD15">
        <f t="shared" si="55"/>
        <v>916</v>
      </c>
      <c r="AE15" s="43">
        <f t="shared" si="56"/>
        <v>137</v>
      </c>
      <c r="AF15" s="43">
        <f t="shared" si="7"/>
        <v>2560</v>
      </c>
      <c r="AG15" s="43">
        <v>13</v>
      </c>
      <c r="AH15">
        <f t="shared" si="57"/>
        <v>1009</v>
      </c>
      <c r="AI15" s="43">
        <f t="shared" si="58"/>
        <v>151</v>
      </c>
      <c r="AJ15" s="43">
        <f t="shared" si="8"/>
        <v>2821</v>
      </c>
      <c r="AK15" s="43">
        <v>13</v>
      </c>
      <c r="AL15">
        <f t="shared" si="59"/>
        <v>569</v>
      </c>
      <c r="AM15" s="43">
        <f t="shared" si="60"/>
        <v>85</v>
      </c>
      <c r="AN15" s="43">
        <f t="shared" si="9"/>
        <v>1589</v>
      </c>
      <c r="AO15" s="43">
        <v>13</v>
      </c>
      <c r="AP15">
        <f t="shared" si="61"/>
        <v>2836</v>
      </c>
      <c r="AQ15" s="43">
        <f t="shared" si="62"/>
        <v>425</v>
      </c>
      <c r="AR15" s="43">
        <f t="shared" si="10"/>
        <v>7936</v>
      </c>
      <c r="AS15" s="43">
        <v>13</v>
      </c>
      <c r="AT15">
        <f t="shared" si="63"/>
        <v>916</v>
      </c>
      <c r="AU15" s="43">
        <f t="shared" si="64"/>
        <v>137</v>
      </c>
      <c r="AV15" s="43">
        <f t="shared" si="11"/>
        <v>2560</v>
      </c>
      <c r="AW15">
        <v>13</v>
      </c>
      <c r="AX15">
        <f t="shared" si="65"/>
        <v>870</v>
      </c>
      <c r="AY15" s="43">
        <f t="shared" si="12"/>
        <v>131</v>
      </c>
      <c r="AZ15" s="43">
        <f t="shared" si="13"/>
        <v>2442</v>
      </c>
      <c r="BA15">
        <v>13</v>
      </c>
      <c r="BB15">
        <f t="shared" si="66"/>
        <v>649</v>
      </c>
      <c r="BC15" s="43">
        <f t="shared" si="67"/>
        <v>97</v>
      </c>
      <c r="BD15" s="43">
        <f t="shared" si="14"/>
        <v>1813</v>
      </c>
      <c r="BE15">
        <v>13</v>
      </c>
      <c r="BF15">
        <f t="shared" si="68"/>
        <v>3269</v>
      </c>
      <c r="BG15" s="43">
        <f t="shared" si="69"/>
        <v>490</v>
      </c>
      <c r="BH15" s="43">
        <f t="shared" si="15"/>
        <v>9149</v>
      </c>
      <c r="BI15" s="43">
        <v>13</v>
      </c>
      <c r="BJ15">
        <f t="shared" si="70"/>
        <v>916</v>
      </c>
      <c r="BK15" s="43">
        <f t="shared" si="71"/>
        <v>137</v>
      </c>
      <c r="BL15" s="43">
        <f t="shared" si="16"/>
        <v>2560</v>
      </c>
      <c r="BM15" s="43">
        <v>13</v>
      </c>
      <c r="BN15">
        <f t="shared" si="72"/>
        <v>640</v>
      </c>
      <c r="BO15" s="43">
        <f t="shared" si="73"/>
        <v>96</v>
      </c>
      <c r="BP15" s="43">
        <f t="shared" si="17"/>
        <v>1792</v>
      </c>
      <c r="BQ15" s="43">
        <v>13</v>
      </c>
      <c r="BR15">
        <f t="shared" si="74"/>
        <v>763</v>
      </c>
      <c r="BS15" s="43">
        <f t="shared" si="75"/>
        <v>114</v>
      </c>
      <c r="BT15" s="43">
        <f t="shared" si="18"/>
        <v>2131</v>
      </c>
      <c r="BU15" s="43">
        <v>13</v>
      </c>
      <c r="BV15">
        <f t="shared" si="76"/>
        <v>3865</v>
      </c>
      <c r="BW15" s="43">
        <f t="shared" si="77"/>
        <v>580</v>
      </c>
      <c r="BX15" s="43">
        <f t="shared" si="19"/>
        <v>10825</v>
      </c>
      <c r="BY15" s="43">
        <v>13</v>
      </c>
      <c r="BZ15">
        <f t="shared" si="78"/>
        <v>916</v>
      </c>
      <c r="CA15" s="43">
        <f t="shared" si="79"/>
        <v>137</v>
      </c>
      <c r="CB15" s="43">
        <f t="shared" si="20"/>
        <v>2560</v>
      </c>
      <c r="CC15">
        <v>13</v>
      </c>
      <c r="CD15">
        <f t="shared" si="80"/>
        <v>880</v>
      </c>
      <c r="CE15" s="43">
        <f t="shared" si="81"/>
        <v>132</v>
      </c>
      <c r="CF15" s="43">
        <f t="shared" si="21"/>
        <v>2464</v>
      </c>
      <c r="CG15">
        <v>13</v>
      </c>
      <c r="CH15">
        <f t="shared" si="82"/>
        <v>645</v>
      </c>
      <c r="CI15" s="43">
        <f t="shared" si="83"/>
        <v>97</v>
      </c>
      <c r="CJ15" s="43">
        <f t="shared" si="22"/>
        <v>1809</v>
      </c>
      <c r="CK15">
        <v>13</v>
      </c>
      <c r="CL15">
        <f t="shared" si="84"/>
        <v>3260</v>
      </c>
      <c r="CM15" s="43">
        <f t="shared" si="85"/>
        <v>489</v>
      </c>
      <c r="CN15" s="43">
        <f t="shared" si="23"/>
        <v>9128</v>
      </c>
      <c r="CO15" s="43">
        <v>13</v>
      </c>
      <c r="CP15">
        <f t="shared" si="86"/>
        <v>916</v>
      </c>
      <c r="CQ15" s="43">
        <f t="shared" si="87"/>
        <v>137</v>
      </c>
      <c r="CR15" s="43">
        <f t="shared" si="24"/>
        <v>2560</v>
      </c>
      <c r="CS15" s="43">
        <v>13</v>
      </c>
      <c r="CT15">
        <f t="shared" si="88"/>
        <v>817</v>
      </c>
      <c r="CU15" s="43">
        <f t="shared" si="89"/>
        <v>123</v>
      </c>
      <c r="CV15" s="43">
        <f t="shared" si="25"/>
        <v>2293</v>
      </c>
      <c r="CW15" s="43">
        <v>13</v>
      </c>
      <c r="CX15">
        <f t="shared" si="90"/>
        <v>645</v>
      </c>
      <c r="CY15" s="43">
        <f t="shared" si="91"/>
        <v>97</v>
      </c>
      <c r="CZ15" s="43">
        <f t="shared" si="26"/>
        <v>1809</v>
      </c>
      <c r="DA15" s="43">
        <v>13</v>
      </c>
      <c r="DB15">
        <f t="shared" si="92"/>
        <v>3120</v>
      </c>
      <c r="DC15" s="43">
        <f t="shared" si="93"/>
        <v>468</v>
      </c>
      <c r="DD15" s="43">
        <f t="shared" si="27"/>
        <v>8736</v>
      </c>
      <c r="DE15" s="43">
        <v>13</v>
      </c>
      <c r="DF15">
        <f t="shared" si="94"/>
        <v>916</v>
      </c>
      <c r="DG15" s="43">
        <f t="shared" si="95"/>
        <v>137</v>
      </c>
      <c r="DH15" s="43">
        <f t="shared" si="28"/>
        <v>2560</v>
      </c>
      <c r="DI15" s="43">
        <v>13</v>
      </c>
      <c r="DJ15">
        <f t="shared" si="96"/>
        <v>760</v>
      </c>
      <c r="DK15" s="43">
        <f t="shared" si="97"/>
        <v>114</v>
      </c>
      <c r="DL15" s="43">
        <f t="shared" si="29"/>
        <v>2128</v>
      </c>
      <c r="DM15" s="43">
        <v>13</v>
      </c>
      <c r="DN15">
        <f t="shared" si="98"/>
        <v>690</v>
      </c>
      <c r="DO15" s="43">
        <f t="shared" si="99"/>
        <v>104</v>
      </c>
      <c r="DP15" s="43">
        <f t="shared" si="30"/>
        <v>1938</v>
      </c>
      <c r="DQ15" s="43">
        <v>13</v>
      </c>
      <c r="DR15">
        <f t="shared" si="100"/>
        <v>3930</v>
      </c>
      <c r="DS15" s="43">
        <f t="shared" si="101"/>
        <v>590</v>
      </c>
      <c r="DT15" s="43">
        <f t="shared" si="31"/>
        <v>11010</v>
      </c>
      <c r="DU15" s="43">
        <v>13</v>
      </c>
      <c r="DV15">
        <f t="shared" si="102"/>
        <v>916</v>
      </c>
      <c r="DW15" s="43">
        <f t="shared" si="103"/>
        <v>137</v>
      </c>
      <c r="DX15" s="43">
        <f t="shared" si="32"/>
        <v>2560</v>
      </c>
      <c r="DY15">
        <v>13</v>
      </c>
      <c r="DZ15">
        <f t="shared" si="104"/>
        <v>880</v>
      </c>
      <c r="EA15" s="43">
        <f t="shared" si="105"/>
        <v>132</v>
      </c>
      <c r="EB15" s="43">
        <f t="shared" si="33"/>
        <v>2464</v>
      </c>
      <c r="EC15">
        <v>13</v>
      </c>
      <c r="ED15">
        <f t="shared" si="106"/>
        <v>720</v>
      </c>
      <c r="EE15" s="43">
        <f t="shared" si="107"/>
        <v>108</v>
      </c>
      <c r="EF15" s="43">
        <f t="shared" si="34"/>
        <v>2016</v>
      </c>
      <c r="EG15">
        <v>13</v>
      </c>
      <c r="EH15">
        <f t="shared" si="108"/>
        <v>3566</v>
      </c>
      <c r="EI15" s="43">
        <f t="shared" si="109"/>
        <v>535</v>
      </c>
      <c r="EJ15" s="43">
        <f t="shared" si="35"/>
        <v>9986</v>
      </c>
      <c r="EK15" s="43">
        <v>13</v>
      </c>
      <c r="EL15">
        <f t="shared" si="110"/>
        <v>916</v>
      </c>
      <c r="EM15" s="43">
        <f t="shared" si="111"/>
        <v>137</v>
      </c>
      <c r="EN15" s="43">
        <f t="shared" si="36"/>
        <v>2560</v>
      </c>
      <c r="EO15" s="43">
        <v>13</v>
      </c>
      <c r="EP15">
        <f t="shared" si="112"/>
        <v>1010</v>
      </c>
      <c r="EQ15" s="43">
        <f t="shared" si="113"/>
        <v>152</v>
      </c>
      <c r="ER15" s="43">
        <f t="shared" si="37"/>
        <v>2834</v>
      </c>
      <c r="ES15" s="43">
        <v>13</v>
      </c>
      <c r="ET15">
        <f t="shared" si="114"/>
        <v>645</v>
      </c>
      <c r="EU15" s="43">
        <f t="shared" si="115"/>
        <v>97</v>
      </c>
      <c r="EV15" s="43">
        <f t="shared" si="38"/>
        <v>1809</v>
      </c>
      <c r="EW15" s="43">
        <v>13</v>
      </c>
      <c r="EX15">
        <f t="shared" si="116"/>
        <v>3260</v>
      </c>
      <c r="EY15" s="43">
        <f t="shared" si="117"/>
        <v>489</v>
      </c>
      <c r="EZ15" s="43">
        <f t="shared" si="39"/>
        <v>9128</v>
      </c>
      <c r="FA15" s="43">
        <v>13</v>
      </c>
      <c r="FB15">
        <f t="shared" si="118"/>
        <v>916</v>
      </c>
      <c r="FC15" s="43">
        <f t="shared" si="119"/>
        <v>137</v>
      </c>
      <c r="FD15" s="43">
        <f t="shared" si="40"/>
        <v>2560</v>
      </c>
    </row>
    <row r="16" spans="1:160">
      <c r="A16">
        <v>14</v>
      </c>
      <c r="B16">
        <f t="shared" si="41"/>
        <v>869</v>
      </c>
      <c r="C16" s="43">
        <f t="shared" si="42"/>
        <v>130</v>
      </c>
      <c r="D16" s="43">
        <f t="shared" si="0"/>
        <v>2559</v>
      </c>
      <c r="E16">
        <v>14</v>
      </c>
      <c r="F16">
        <f t="shared" si="43"/>
        <v>605</v>
      </c>
      <c r="G16" s="43">
        <f t="shared" si="44"/>
        <v>91</v>
      </c>
      <c r="H16" s="43">
        <f t="shared" si="1"/>
        <v>1788</v>
      </c>
      <c r="I16">
        <v>14</v>
      </c>
      <c r="J16">
        <f t="shared" si="45"/>
        <v>3220</v>
      </c>
      <c r="K16" s="43">
        <f t="shared" si="46"/>
        <v>483</v>
      </c>
      <c r="L16" s="43">
        <f t="shared" si="2"/>
        <v>9499</v>
      </c>
      <c r="M16">
        <v>14</v>
      </c>
      <c r="N16">
        <f t="shared" si="47"/>
        <v>916</v>
      </c>
      <c r="O16" s="43">
        <f t="shared" si="48"/>
        <v>137</v>
      </c>
      <c r="P16" s="43">
        <f t="shared" si="3"/>
        <v>2697</v>
      </c>
      <c r="Q16">
        <v>14</v>
      </c>
      <c r="R16">
        <f t="shared" si="49"/>
        <v>1125</v>
      </c>
      <c r="S16" s="43">
        <f t="shared" si="50"/>
        <v>169</v>
      </c>
      <c r="T16" s="43">
        <f t="shared" si="4"/>
        <v>3322</v>
      </c>
      <c r="U16">
        <v>14</v>
      </c>
      <c r="V16">
        <f t="shared" si="51"/>
        <v>569</v>
      </c>
      <c r="W16" s="43">
        <f t="shared" si="52"/>
        <v>85</v>
      </c>
      <c r="X16" s="43">
        <f t="shared" si="5"/>
        <v>1674</v>
      </c>
      <c r="Y16">
        <v>14</v>
      </c>
      <c r="Z16">
        <f t="shared" si="53"/>
        <v>3004</v>
      </c>
      <c r="AA16" s="43">
        <f t="shared" si="54"/>
        <v>451</v>
      </c>
      <c r="AB16" s="43">
        <f t="shared" si="6"/>
        <v>8867</v>
      </c>
      <c r="AC16">
        <v>14</v>
      </c>
      <c r="AD16">
        <f t="shared" si="55"/>
        <v>916</v>
      </c>
      <c r="AE16" s="43">
        <f t="shared" si="56"/>
        <v>137</v>
      </c>
      <c r="AF16" s="43">
        <f t="shared" si="7"/>
        <v>2697</v>
      </c>
      <c r="AG16">
        <v>14</v>
      </c>
      <c r="AH16">
        <f t="shared" si="57"/>
        <v>1009</v>
      </c>
      <c r="AI16" s="43">
        <f t="shared" si="58"/>
        <v>151</v>
      </c>
      <c r="AJ16" s="43">
        <f t="shared" si="8"/>
        <v>2972</v>
      </c>
      <c r="AK16">
        <v>14</v>
      </c>
      <c r="AL16">
        <f t="shared" si="59"/>
        <v>569</v>
      </c>
      <c r="AM16" s="43">
        <f t="shared" si="60"/>
        <v>85</v>
      </c>
      <c r="AN16" s="43">
        <f t="shared" si="9"/>
        <v>1674</v>
      </c>
      <c r="AO16">
        <v>14</v>
      </c>
      <c r="AP16">
        <f t="shared" si="61"/>
        <v>2836</v>
      </c>
      <c r="AQ16" s="43">
        <f t="shared" si="62"/>
        <v>425</v>
      </c>
      <c r="AR16" s="43">
        <f t="shared" si="10"/>
        <v>8361</v>
      </c>
      <c r="AS16">
        <v>14</v>
      </c>
      <c r="AT16">
        <f t="shared" si="63"/>
        <v>916</v>
      </c>
      <c r="AU16" s="43">
        <f t="shared" si="64"/>
        <v>137</v>
      </c>
      <c r="AV16" s="43">
        <f t="shared" si="11"/>
        <v>2697</v>
      </c>
      <c r="AW16">
        <v>14</v>
      </c>
      <c r="AX16">
        <f t="shared" si="65"/>
        <v>870</v>
      </c>
      <c r="AY16" s="43">
        <f t="shared" si="12"/>
        <v>131</v>
      </c>
      <c r="AZ16" s="43">
        <f t="shared" si="13"/>
        <v>2573</v>
      </c>
      <c r="BA16">
        <v>14</v>
      </c>
      <c r="BB16">
        <f t="shared" si="66"/>
        <v>649</v>
      </c>
      <c r="BC16" s="43">
        <f t="shared" si="67"/>
        <v>97</v>
      </c>
      <c r="BD16" s="43">
        <f t="shared" si="14"/>
        <v>1910</v>
      </c>
      <c r="BE16">
        <v>14</v>
      </c>
      <c r="BF16">
        <f t="shared" si="68"/>
        <v>3269</v>
      </c>
      <c r="BG16" s="43">
        <f t="shared" si="69"/>
        <v>490</v>
      </c>
      <c r="BH16" s="43">
        <f t="shared" si="15"/>
        <v>9639</v>
      </c>
      <c r="BI16">
        <v>14</v>
      </c>
      <c r="BJ16">
        <f t="shared" si="70"/>
        <v>916</v>
      </c>
      <c r="BK16" s="43">
        <f t="shared" si="71"/>
        <v>137</v>
      </c>
      <c r="BL16" s="43">
        <f t="shared" si="16"/>
        <v>2697</v>
      </c>
      <c r="BM16">
        <v>14</v>
      </c>
      <c r="BN16">
        <f t="shared" si="72"/>
        <v>640</v>
      </c>
      <c r="BO16" s="43">
        <f t="shared" si="73"/>
        <v>96</v>
      </c>
      <c r="BP16" s="43">
        <f t="shared" si="17"/>
        <v>1888</v>
      </c>
      <c r="BQ16">
        <v>14</v>
      </c>
      <c r="BR16">
        <f t="shared" si="74"/>
        <v>763</v>
      </c>
      <c r="BS16" s="43">
        <f t="shared" si="75"/>
        <v>114</v>
      </c>
      <c r="BT16" s="43">
        <f t="shared" si="18"/>
        <v>2245</v>
      </c>
      <c r="BU16">
        <v>14</v>
      </c>
      <c r="BV16">
        <f t="shared" si="76"/>
        <v>3865</v>
      </c>
      <c r="BW16" s="43">
        <f t="shared" si="77"/>
        <v>580</v>
      </c>
      <c r="BX16" s="43">
        <f t="shared" si="19"/>
        <v>11405</v>
      </c>
      <c r="BY16">
        <v>14</v>
      </c>
      <c r="BZ16">
        <f t="shared" si="78"/>
        <v>916</v>
      </c>
      <c r="CA16" s="43">
        <f t="shared" si="79"/>
        <v>137</v>
      </c>
      <c r="CB16" s="43">
        <f t="shared" si="20"/>
        <v>2697</v>
      </c>
      <c r="CC16">
        <v>14</v>
      </c>
      <c r="CD16">
        <f t="shared" si="80"/>
        <v>880</v>
      </c>
      <c r="CE16" s="43">
        <f t="shared" si="81"/>
        <v>132</v>
      </c>
      <c r="CF16" s="43">
        <f t="shared" si="21"/>
        <v>2596</v>
      </c>
      <c r="CG16">
        <v>14</v>
      </c>
      <c r="CH16">
        <f t="shared" si="82"/>
        <v>645</v>
      </c>
      <c r="CI16" s="43">
        <f t="shared" si="83"/>
        <v>97</v>
      </c>
      <c r="CJ16" s="43">
        <f t="shared" si="22"/>
        <v>1906</v>
      </c>
      <c r="CK16">
        <v>14</v>
      </c>
      <c r="CL16">
        <f t="shared" si="84"/>
        <v>3260</v>
      </c>
      <c r="CM16" s="43">
        <f t="shared" si="85"/>
        <v>489</v>
      </c>
      <c r="CN16" s="43">
        <f t="shared" si="23"/>
        <v>9617</v>
      </c>
      <c r="CO16">
        <v>14</v>
      </c>
      <c r="CP16">
        <f t="shared" si="86"/>
        <v>916</v>
      </c>
      <c r="CQ16" s="43">
        <f t="shared" si="87"/>
        <v>137</v>
      </c>
      <c r="CR16" s="43">
        <f t="shared" si="24"/>
        <v>2697</v>
      </c>
      <c r="CS16">
        <v>14</v>
      </c>
      <c r="CT16">
        <f t="shared" si="88"/>
        <v>817</v>
      </c>
      <c r="CU16" s="43">
        <f t="shared" si="89"/>
        <v>123</v>
      </c>
      <c r="CV16" s="43">
        <f t="shared" si="25"/>
        <v>2416</v>
      </c>
      <c r="CW16">
        <v>14</v>
      </c>
      <c r="CX16">
        <f t="shared" si="90"/>
        <v>645</v>
      </c>
      <c r="CY16" s="43">
        <f t="shared" si="91"/>
        <v>97</v>
      </c>
      <c r="CZ16" s="43">
        <f t="shared" si="26"/>
        <v>1906</v>
      </c>
      <c r="DA16">
        <v>14</v>
      </c>
      <c r="DB16">
        <f t="shared" si="92"/>
        <v>3120</v>
      </c>
      <c r="DC16" s="43">
        <f t="shared" si="93"/>
        <v>468</v>
      </c>
      <c r="DD16" s="43">
        <f t="shared" si="27"/>
        <v>9204</v>
      </c>
      <c r="DE16">
        <v>14</v>
      </c>
      <c r="DF16">
        <f t="shared" si="94"/>
        <v>916</v>
      </c>
      <c r="DG16" s="43">
        <f t="shared" si="95"/>
        <v>137</v>
      </c>
      <c r="DH16" s="43">
        <f t="shared" si="28"/>
        <v>2697</v>
      </c>
      <c r="DI16">
        <v>14</v>
      </c>
      <c r="DJ16">
        <f t="shared" si="96"/>
        <v>760</v>
      </c>
      <c r="DK16" s="43">
        <f t="shared" si="97"/>
        <v>114</v>
      </c>
      <c r="DL16" s="43">
        <f t="shared" si="29"/>
        <v>2242</v>
      </c>
      <c r="DM16">
        <v>14</v>
      </c>
      <c r="DN16">
        <f t="shared" si="98"/>
        <v>690</v>
      </c>
      <c r="DO16" s="43">
        <f t="shared" si="99"/>
        <v>104</v>
      </c>
      <c r="DP16" s="43">
        <f t="shared" si="30"/>
        <v>2042</v>
      </c>
      <c r="DQ16">
        <v>14</v>
      </c>
      <c r="DR16">
        <f t="shared" si="100"/>
        <v>3930</v>
      </c>
      <c r="DS16" s="43">
        <f t="shared" si="101"/>
        <v>590</v>
      </c>
      <c r="DT16" s="43">
        <f t="shared" si="31"/>
        <v>11600</v>
      </c>
      <c r="DU16">
        <v>14</v>
      </c>
      <c r="DV16">
        <f t="shared" si="102"/>
        <v>916</v>
      </c>
      <c r="DW16" s="43">
        <f t="shared" si="103"/>
        <v>137</v>
      </c>
      <c r="DX16" s="43">
        <f t="shared" si="32"/>
        <v>2697</v>
      </c>
      <c r="DY16">
        <v>14</v>
      </c>
      <c r="DZ16">
        <f t="shared" si="104"/>
        <v>880</v>
      </c>
      <c r="EA16" s="43">
        <f t="shared" si="105"/>
        <v>132</v>
      </c>
      <c r="EB16" s="43">
        <f t="shared" si="33"/>
        <v>2596</v>
      </c>
      <c r="EC16">
        <v>14</v>
      </c>
      <c r="ED16">
        <f t="shared" si="106"/>
        <v>720</v>
      </c>
      <c r="EE16" s="43">
        <f t="shared" si="107"/>
        <v>108</v>
      </c>
      <c r="EF16" s="43">
        <f t="shared" si="34"/>
        <v>2124</v>
      </c>
      <c r="EG16">
        <v>14</v>
      </c>
      <c r="EH16">
        <f t="shared" si="108"/>
        <v>3566</v>
      </c>
      <c r="EI16" s="43">
        <f t="shared" si="109"/>
        <v>535</v>
      </c>
      <c r="EJ16" s="43">
        <f t="shared" si="35"/>
        <v>10521</v>
      </c>
      <c r="EK16">
        <v>14</v>
      </c>
      <c r="EL16">
        <f t="shared" si="110"/>
        <v>916</v>
      </c>
      <c r="EM16" s="43">
        <f t="shared" si="111"/>
        <v>137</v>
      </c>
      <c r="EN16" s="43">
        <f t="shared" si="36"/>
        <v>2697</v>
      </c>
      <c r="EO16">
        <v>14</v>
      </c>
      <c r="EP16">
        <f t="shared" si="112"/>
        <v>1010</v>
      </c>
      <c r="EQ16" s="43">
        <f t="shared" si="113"/>
        <v>152</v>
      </c>
      <c r="ER16" s="43">
        <f t="shared" si="37"/>
        <v>2986</v>
      </c>
      <c r="ES16">
        <v>14</v>
      </c>
      <c r="ET16">
        <f t="shared" si="114"/>
        <v>645</v>
      </c>
      <c r="EU16" s="43">
        <f t="shared" si="115"/>
        <v>97</v>
      </c>
      <c r="EV16" s="43">
        <f t="shared" si="38"/>
        <v>1906</v>
      </c>
      <c r="EW16">
        <v>14</v>
      </c>
      <c r="EX16">
        <f t="shared" si="116"/>
        <v>3260</v>
      </c>
      <c r="EY16" s="43">
        <f t="shared" si="117"/>
        <v>489</v>
      </c>
      <c r="EZ16" s="43">
        <f t="shared" si="39"/>
        <v>9617</v>
      </c>
      <c r="FA16">
        <v>14</v>
      </c>
      <c r="FB16">
        <f t="shared" si="118"/>
        <v>916</v>
      </c>
      <c r="FC16" s="43">
        <f t="shared" si="119"/>
        <v>137</v>
      </c>
      <c r="FD16" s="43">
        <f t="shared" si="40"/>
        <v>2697</v>
      </c>
    </row>
    <row r="17" spans="1:160">
      <c r="A17">
        <v>15</v>
      </c>
      <c r="B17">
        <f t="shared" si="41"/>
        <v>869</v>
      </c>
      <c r="C17" s="43">
        <f t="shared" si="42"/>
        <v>130</v>
      </c>
      <c r="D17" s="43">
        <f t="shared" si="0"/>
        <v>2689</v>
      </c>
      <c r="E17">
        <v>15</v>
      </c>
      <c r="F17">
        <f t="shared" si="43"/>
        <v>605</v>
      </c>
      <c r="G17" s="43">
        <f t="shared" si="44"/>
        <v>91</v>
      </c>
      <c r="H17" s="43">
        <f t="shared" si="1"/>
        <v>1879</v>
      </c>
      <c r="I17" s="43">
        <v>15</v>
      </c>
      <c r="J17">
        <f t="shared" si="45"/>
        <v>3220</v>
      </c>
      <c r="K17" s="43">
        <f t="shared" si="46"/>
        <v>483</v>
      </c>
      <c r="L17" s="43">
        <f t="shared" si="2"/>
        <v>9982</v>
      </c>
      <c r="M17" s="43">
        <v>15</v>
      </c>
      <c r="N17">
        <f t="shared" si="47"/>
        <v>916</v>
      </c>
      <c r="O17" s="43">
        <f t="shared" si="48"/>
        <v>137</v>
      </c>
      <c r="P17" s="43">
        <f t="shared" si="3"/>
        <v>2834</v>
      </c>
      <c r="Q17">
        <v>15</v>
      </c>
      <c r="R17">
        <f t="shared" si="49"/>
        <v>1125</v>
      </c>
      <c r="S17" s="43">
        <f t="shared" si="50"/>
        <v>169</v>
      </c>
      <c r="T17" s="43">
        <f t="shared" si="4"/>
        <v>3491</v>
      </c>
      <c r="U17">
        <v>15</v>
      </c>
      <c r="V17">
        <f t="shared" si="51"/>
        <v>569</v>
      </c>
      <c r="W17" s="43">
        <f t="shared" si="52"/>
        <v>85</v>
      </c>
      <c r="X17" s="43">
        <f t="shared" si="5"/>
        <v>1759</v>
      </c>
      <c r="Y17">
        <v>15</v>
      </c>
      <c r="Z17">
        <f t="shared" si="53"/>
        <v>3004</v>
      </c>
      <c r="AA17" s="43">
        <f t="shared" si="54"/>
        <v>451</v>
      </c>
      <c r="AB17" s="43">
        <f t="shared" si="6"/>
        <v>9318</v>
      </c>
      <c r="AC17" s="43">
        <v>15</v>
      </c>
      <c r="AD17">
        <f t="shared" si="55"/>
        <v>916</v>
      </c>
      <c r="AE17" s="43">
        <f t="shared" si="56"/>
        <v>137</v>
      </c>
      <c r="AF17" s="43">
        <f t="shared" si="7"/>
        <v>2834</v>
      </c>
      <c r="AG17" s="43">
        <v>15</v>
      </c>
      <c r="AH17">
        <f t="shared" si="57"/>
        <v>1009</v>
      </c>
      <c r="AI17" s="43">
        <f t="shared" si="58"/>
        <v>151</v>
      </c>
      <c r="AJ17" s="43">
        <f t="shared" si="8"/>
        <v>3123</v>
      </c>
      <c r="AK17" s="43">
        <v>15</v>
      </c>
      <c r="AL17">
        <f t="shared" si="59"/>
        <v>569</v>
      </c>
      <c r="AM17" s="43">
        <f t="shared" si="60"/>
        <v>85</v>
      </c>
      <c r="AN17" s="43">
        <f t="shared" si="9"/>
        <v>1759</v>
      </c>
      <c r="AO17" s="43">
        <v>15</v>
      </c>
      <c r="AP17">
        <f t="shared" si="61"/>
        <v>2836</v>
      </c>
      <c r="AQ17" s="43">
        <f t="shared" si="62"/>
        <v>425</v>
      </c>
      <c r="AR17" s="43">
        <f t="shared" si="10"/>
        <v>8786</v>
      </c>
      <c r="AS17" s="43">
        <v>15</v>
      </c>
      <c r="AT17">
        <f t="shared" si="63"/>
        <v>916</v>
      </c>
      <c r="AU17" s="43">
        <f t="shared" si="64"/>
        <v>137</v>
      </c>
      <c r="AV17" s="43">
        <f t="shared" si="11"/>
        <v>2834</v>
      </c>
      <c r="AW17">
        <v>15</v>
      </c>
      <c r="AX17">
        <f t="shared" si="65"/>
        <v>870</v>
      </c>
      <c r="AY17" s="43">
        <f t="shared" si="12"/>
        <v>131</v>
      </c>
      <c r="AZ17" s="43">
        <f t="shared" si="13"/>
        <v>2704</v>
      </c>
      <c r="BA17">
        <v>15</v>
      </c>
      <c r="BB17">
        <f t="shared" si="66"/>
        <v>649</v>
      </c>
      <c r="BC17" s="43">
        <f t="shared" si="67"/>
        <v>97</v>
      </c>
      <c r="BD17" s="43">
        <f t="shared" si="14"/>
        <v>2007</v>
      </c>
      <c r="BE17">
        <v>15</v>
      </c>
      <c r="BF17">
        <f t="shared" si="68"/>
        <v>3269</v>
      </c>
      <c r="BG17" s="43">
        <f t="shared" si="69"/>
        <v>490</v>
      </c>
      <c r="BH17" s="43">
        <f t="shared" si="15"/>
        <v>10129</v>
      </c>
      <c r="BI17" s="43">
        <v>15</v>
      </c>
      <c r="BJ17">
        <f t="shared" si="70"/>
        <v>916</v>
      </c>
      <c r="BK17" s="43">
        <f t="shared" si="71"/>
        <v>137</v>
      </c>
      <c r="BL17" s="43">
        <f t="shared" si="16"/>
        <v>2834</v>
      </c>
      <c r="BM17" s="43">
        <v>15</v>
      </c>
      <c r="BN17">
        <f t="shared" si="72"/>
        <v>640</v>
      </c>
      <c r="BO17" s="43">
        <f t="shared" si="73"/>
        <v>96</v>
      </c>
      <c r="BP17" s="43">
        <f t="shared" si="17"/>
        <v>1984</v>
      </c>
      <c r="BQ17" s="43">
        <v>15</v>
      </c>
      <c r="BR17">
        <f t="shared" si="74"/>
        <v>763</v>
      </c>
      <c r="BS17" s="43">
        <f t="shared" si="75"/>
        <v>114</v>
      </c>
      <c r="BT17" s="43">
        <f t="shared" si="18"/>
        <v>2359</v>
      </c>
      <c r="BU17" s="43">
        <v>15</v>
      </c>
      <c r="BV17">
        <f t="shared" si="76"/>
        <v>3865</v>
      </c>
      <c r="BW17" s="43">
        <f t="shared" si="77"/>
        <v>580</v>
      </c>
      <c r="BX17" s="43">
        <f t="shared" si="19"/>
        <v>11985</v>
      </c>
      <c r="BY17" s="43">
        <v>15</v>
      </c>
      <c r="BZ17">
        <f t="shared" si="78"/>
        <v>916</v>
      </c>
      <c r="CA17" s="43">
        <f t="shared" si="79"/>
        <v>137</v>
      </c>
      <c r="CB17" s="43">
        <f t="shared" si="20"/>
        <v>2834</v>
      </c>
      <c r="CC17">
        <v>15</v>
      </c>
      <c r="CD17">
        <f t="shared" si="80"/>
        <v>880</v>
      </c>
      <c r="CE17" s="43">
        <f t="shared" si="81"/>
        <v>132</v>
      </c>
      <c r="CF17" s="43">
        <f t="shared" si="21"/>
        <v>2728</v>
      </c>
      <c r="CG17">
        <v>15</v>
      </c>
      <c r="CH17">
        <f t="shared" si="82"/>
        <v>645</v>
      </c>
      <c r="CI17" s="43">
        <f t="shared" si="83"/>
        <v>97</v>
      </c>
      <c r="CJ17" s="43">
        <f t="shared" si="22"/>
        <v>2003</v>
      </c>
      <c r="CK17">
        <v>15</v>
      </c>
      <c r="CL17">
        <f t="shared" si="84"/>
        <v>3260</v>
      </c>
      <c r="CM17" s="43">
        <f t="shared" si="85"/>
        <v>489</v>
      </c>
      <c r="CN17" s="43">
        <f t="shared" si="23"/>
        <v>10106</v>
      </c>
      <c r="CO17" s="43">
        <v>15</v>
      </c>
      <c r="CP17">
        <f t="shared" si="86"/>
        <v>916</v>
      </c>
      <c r="CQ17" s="43">
        <f t="shared" si="87"/>
        <v>137</v>
      </c>
      <c r="CR17" s="43">
        <f t="shared" si="24"/>
        <v>2834</v>
      </c>
      <c r="CS17" s="43">
        <v>15</v>
      </c>
      <c r="CT17">
        <f t="shared" si="88"/>
        <v>817</v>
      </c>
      <c r="CU17" s="43">
        <f t="shared" si="89"/>
        <v>123</v>
      </c>
      <c r="CV17" s="43">
        <f t="shared" si="25"/>
        <v>2539</v>
      </c>
      <c r="CW17" s="43">
        <v>15</v>
      </c>
      <c r="CX17">
        <f t="shared" si="90"/>
        <v>645</v>
      </c>
      <c r="CY17" s="43">
        <f t="shared" si="91"/>
        <v>97</v>
      </c>
      <c r="CZ17" s="43">
        <f t="shared" si="26"/>
        <v>2003</v>
      </c>
      <c r="DA17" s="43">
        <v>15</v>
      </c>
      <c r="DB17">
        <f t="shared" si="92"/>
        <v>3120</v>
      </c>
      <c r="DC17" s="43">
        <f t="shared" si="93"/>
        <v>468</v>
      </c>
      <c r="DD17" s="43">
        <f t="shared" si="27"/>
        <v>9672</v>
      </c>
      <c r="DE17" s="43">
        <v>15</v>
      </c>
      <c r="DF17">
        <f t="shared" si="94"/>
        <v>916</v>
      </c>
      <c r="DG17" s="43">
        <f t="shared" si="95"/>
        <v>137</v>
      </c>
      <c r="DH17" s="43">
        <f t="shared" si="28"/>
        <v>2834</v>
      </c>
      <c r="DI17" s="43">
        <v>15</v>
      </c>
      <c r="DJ17">
        <f t="shared" si="96"/>
        <v>760</v>
      </c>
      <c r="DK17" s="43">
        <f t="shared" si="97"/>
        <v>114</v>
      </c>
      <c r="DL17" s="43">
        <f t="shared" si="29"/>
        <v>2356</v>
      </c>
      <c r="DM17" s="43">
        <v>15</v>
      </c>
      <c r="DN17">
        <f t="shared" si="98"/>
        <v>690</v>
      </c>
      <c r="DO17" s="43">
        <f t="shared" si="99"/>
        <v>104</v>
      </c>
      <c r="DP17" s="43">
        <f t="shared" si="30"/>
        <v>2146</v>
      </c>
      <c r="DQ17" s="43">
        <v>15</v>
      </c>
      <c r="DR17">
        <f t="shared" si="100"/>
        <v>3930</v>
      </c>
      <c r="DS17" s="43">
        <f t="shared" si="101"/>
        <v>590</v>
      </c>
      <c r="DT17" s="43">
        <f t="shared" si="31"/>
        <v>12190</v>
      </c>
      <c r="DU17" s="43">
        <v>15</v>
      </c>
      <c r="DV17">
        <f t="shared" si="102"/>
        <v>916</v>
      </c>
      <c r="DW17" s="43">
        <f t="shared" si="103"/>
        <v>137</v>
      </c>
      <c r="DX17" s="43">
        <f t="shared" si="32"/>
        <v>2834</v>
      </c>
      <c r="DY17">
        <v>15</v>
      </c>
      <c r="DZ17">
        <f t="shared" si="104"/>
        <v>880</v>
      </c>
      <c r="EA17" s="43">
        <f t="shared" si="105"/>
        <v>132</v>
      </c>
      <c r="EB17" s="43">
        <f t="shared" si="33"/>
        <v>2728</v>
      </c>
      <c r="EC17">
        <v>15</v>
      </c>
      <c r="ED17">
        <f t="shared" si="106"/>
        <v>720</v>
      </c>
      <c r="EE17" s="43">
        <f t="shared" si="107"/>
        <v>108</v>
      </c>
      <c r="EF17" s="43">
        <f t="shared" si="34"/>
        <v>2232</v>
      </c>
      <c r="EG17">
        <v>15</v>
      </c>
      <c r="EH17">
        <f t="shared" si="108"/>
        <v>3566</v>
      </c>
      <c r="EI17" s="43">
        <f t="shared" si="109"/>
        <v>535</v>
      </c>
      <c r="EJ17" s="43">
        <f t="shared" si="35"/>
        <v>11056</v>
      </c>
      <c r="EK17" s="43">
        <v>15</v>
      </c>
      <c r="EL17">
        <f t="shared" si="110"/>
        <v>916</v>
      </c>
      <c r="EM17" s="43">
        <f t="shared" si="111"/>
        <v>137</v>
      </c>
      <c r="EN17" s="43">
        <f t="shared" si="36"/>
        <v>2834</v>
      </c>
      <c r="EO17" s="43">
        <v>15</v>
      </c>
      <c r="EP17">
        <f t="shared" si="112"/>
        <v>1010</v>
      </c>
      <c r="EQ17" s="43">
        <f t="shared" si="113"/>
        <v>152</v>
      </c>
      <c r="ER17" s="43">
        <f t="shared" si="37"/>
        <v>3138</v>
      </c>
      <c r="ES17" s="43">
        <v>15</v>
      </c>
      <c r="ET17">
        <f t="shared" si="114"/>
        <v>645</v>
      </c>
      <c r="EU17" s="43">
        <f t="shared" si="115"/>
        <v>97</v>
      </c>
      <c r="EV17" s="43">
        <f t="shared" si="38"/>
        <v>2003</v>
      </c>
      <c r="EW17" s="43">
        <v>15</v>
      </c>
      <c r="EX17">
        <f t="shared" si="116"/>
        <v>3260</v>
      </c>
      <c r="EY17" s="43">
        <f t="shared" si="117"/>
        <v>489</v>
      </c>
      <c r="EZ17" s="43">
        <f t="shared" si="39"/>
        <v>10106</v>
      </c>
      <c r="FA17" s="43">
        <v>15</v>
      </c>
      <c r="FB17">
        <f t="shared" si="118"/>
        <v>916</v>
      </c>
      <c r="FC17" s="43">
        <f t="shared" si="119"/>
        <v>137</v>
      </c>
      <c r="FD17" s="43">
        <f t="shared" si="40"/>
        <v>2834</v>
      </c>
    </row>
    <row r="18" spans="1:160">
      <c r="A18">
        <v>16</v>
      </c>
      <c r="B18">
        <f t="shared" si="41"/>
        <v>869</v>
      </c>
      <c r="C18" s="43">
        <f t="shared" si="42"/>
        <v>130</v>
      </c>
      <c r="D18" s="43">
        <f t="shared" si="0"/>
        <v>2819</v>
      </c>
      <c r="E18">
        <v>16</v>
      </c>
      <c r="F18">
        <f t="shared" si="43"/>
        <v>605</v>
      </c>
      <c r="G18" s="43">
        <f t="shared" si="44"/>
        <v>91</v>
      </c>
      <c r="H18" s="43">
        <f t="shared" si="1"/>
        <v>1970</v>
      </c>
      <c r="I18">
        <v>16</v>
      </c>
      <c r="J18">
        <f t="shared" si="45"/>
        <v>3220</v>
      </c>
      <c r="K18" s="43">
        <f t="shared" si="46"/>
        <v>483</v>
      </c>
      <c r="L18" s="43">
        <f t="shared" si="2"/>
        <v>10465</v>
      </c>
      <c r="M18">
        <v>16</v>
      </c>
      <c r="N18">
        <f t="shared" si="47"/>
        <v>916</v>
      </c>
      <c r="O18" s="43">
        <f t="shared" si="48"/>
        <v>137</v>
      </c>
      <c r="P18" s="43">
        <f t="shared" si="3"/>
        <v>2971</v>
      </c>
      <c r="Q18">
        <v>16</v>
      </c>
      <c r="R18">
        <f t="shared" si="49"/>
        <v>1125</v>
      </c>
      <c r="S18" s="43">
        <f t="shared" si="50"/>
        <v>169</v>
      </c>
      <c r="T18" s="43">
        <f t="shared" si="4"/>
        <v>3660</v>
      </c>
      <c r="U18">
        <v>16</v>
      </c>
      <c r="V18">
        <f t="shared" si="51"/>
        <v>569</v>
      </c>
      <c r="W18" s="43">
        <f t="shared" si="52"/>
        <v>85</v>
      </c>
      <c r="X18" s="43">
        <f t="shared" si="5"/>
        <v>1844</v>
      </c>
      <c r="Y18">
        <v>16</v>
      </c>
      <c r="Z18">
        <f t="shared" si="53"/>
        <v>3004</v>
      </c>
      <c r="AA18" s="43">
        <f t="shared" si="54"/>
        <v>451</v>
      </c>
      <c r="AB18" s="43">
        <f t="shared" si="6"/>
        <v>9769</v>
      </c>
      <c r="AC18">
        <v>16</v>
      </c>
      <c r="AD18">
        <f t="shared" si="55"/>
        <v>916</v>
      </c>
      <c r="AE18" s="43">
        <f t="shared" si="56"/>
        <v>137</v>
      </c>
      <c r="AF18" s="43">
        <f t="shared" si="7"/>
        <v>2971</v>
      </c>
      <c r="AG18">
        <v>16</v>
      </c>
      <c r="AH18">
        <f t="shared" si="57"/>
        <v>1009</v>
      </c>
      <c r="AI18" s="43">
        <f t="shared" si="58"/>
        <v>151</v>
      </c>
      <c r="AJ18" s="43">
        <f t="shared" si="8"/>
        <v>3274</v>
      </c>
      <c r="AK18">
        <v>16</v>
      </c>
      <c r="AL18">
        <f t="shared" si="59"/>
        <v>569</v>
      </c>
      <c r="AM18" s="43">
        <f t="shared" si="60"/>
        <v>85</v>
      </c>
      <c r="AN18" s="43">
        <f t="shared" si="9"/>
        <v>1844</v>
      </c>
      <c r="AO18">
        <v>16</v>
      </c>
      <c r="AP18">
        <f t="shared" si="61"/>
        <v>2836</v>
      </c>
      <c r="AQ18" s="43">
        <f t="shared" si="62"/>
        <v>425</v>
      </c>
      <c r="AR18" s="43">
        <f t="shared" si="10"/>
        <v>9211</v>
      </c>
      <c r="AS18">
        <v>16</v>
      </c>
      <c r="AT18">
        <f t="shared" si="63"/>
        <v>916</v>
      </c>
      <c r="AU18" s="43">
        <f t="shared" si="64"/>
        <v>137</v>
      </c>
      <c r="AV18" s="43">
        <f t="shared" si="11"/>
        <v>2971</v>
      </c>
      <c r="AW18">
        <v>16</v>
      </c>
      <c r="AX18">
        <f t="shared" si="65"/>
        <v>870</v>
      </c>
      <c r="AY18" s="43">
        <f t="shared" si="12"/>
        <v>131</v>
      </c>
      <c r="AZ18" s="43">
        <f t="shared" si="13"/>
        <v>2835</v>
      </c>
      <c r="BA18">
        <v>16</v>
      </c>
      <c r="BB18">
        <f t="shared" si="66"/>
        <v>649</v>
      </c>
      <c r="BC18" s="43">
        <f t="shared" si="67"/>
        <v>97</v>
      </c>
      <c r="BD18" s="43">
        <f t="shared" si="14"/>
        <v>2104</v>
      </c>
      <c r="BE18">
        <v>16</v>
      </c>
      <c r="BF18">
        <f t="shared" si="68"/>
        <v>3269</v>
      </c>
      <c r="BG18" s="43">
        <f t="shared" si="69"/>
        <v>490</v>
      </c>
      <c r="BH18" s="43">
        <f t="shared" si="15"/>
        <v>10619</v>
      </c>
      <c r="BI18">
        <v>16</v>
      </c>
      <c r="BJ18">
        <f t="shared" si="70"/>
        <v>916</v>
      </c>
      <c r="BK18" s="43">
        <f t="shared" si="71"/>
        <v>137</v>
      </c>
      <c r="BL18" s="43">
        <f t="shared" si="16"/>
        <v>2971</v>
      </c>
      <c r="BM18">
        <v>16</v>
      </c>
      <c r="BN18">
        <f t="shared" si="72"/>
        <v>640</v>
      </c>
      <c r="BO18" s="43">
        <f t="shared" si="73"/>
        <v>96</v>
      </c>
      <c r="BP18" s="43">
        <f t="shared" si="17"/>
        <v>2080</v>
      </c>
      <c r="BQ18">
        <v>16</v>
      </c>
      <c r="BR18">
        <f t="shared" si="74"/>
        <v>763</v>
      </c>
      <c r="BS18" s="43">
        <f t="shared" si="75"/>
        <v>114</v>
      </c>
      <c r="BT18" s="43">
        <f t="shared" si="18"/>
        <v>2473</v>
      </c>
      <c r="BU18">
        <v>16</v>
      </c>
      <c r="BV18">
        <f t="shared" si="76"/>
        <v>3865</v>
      </c>
      <c r="BW18" s="43">
        <f t="shared" si="77"/>
        <v>580</v>
      </c>
      <c r="BX18" s="43">
        <f t="shared" si="19"/>
        <v>12565</v>
      </c>
      <c r="BY18">
        <v>16</v>
      </c>
      <c r="BZ18">
        <f t="shared" si="78"/>
        <v>916</v>
      </c>
      <c r="CA18" s="43">
        <f t="shared" si="79"/>
        <v>137</v>
      </c>
      <c r="CB18" s="43">
        <f t="shared" si="20"/>
        <v>2971</v>
      </c>
      <c r="CC18">
        <v>16</v>
      </c>
      <c r="CD18">
        <f t="shared" si="80"/>
        <v>880</v>
      </c>
      <c r="CE18" s="43">
        <f t="shared" si="81"/>
        <v>132</v>
      </c>
      <c r="CF18" s="43">
        <f t="shared" si="21"/>
        <v>2860</v>
      </c>
      <c r="CG18">
        <v>16</v>
      </c>
      <c r="CH18">
        <f t="shared" si="82"/>
        <v>645</v>
      </c>
      <c r="CI18" s="43">
        <f t="shared" si="83"/>
        <v>97</v>
      </c>
      <c r="CJ18" s="43">
        <f t="shared" si="22"/>
        <v>2100</v>
      </c>
      <c r="CK18">
        <v>16</v>
      </c>
      <c r="CL18">
        <f t="shared" si="84"/>
        <v>3260</v>
      </c>
      <c r="CM18" s="43">
        <f t="shared" si="85"/>
        <v>489</v>
      </c>
      <c r="CN18" s="43">
        <f t="shared" si="23"/>
        <v>10595</v>
      </c>
      <c r="CO18">
        <v>16</v>
      </c>
      <c r="CP18">
        <f t="shared" si="86"/>
        <v>916</v>
      </c>
      <c r="CQ18" s="43">
        <f t="shared" si="87"/>
        <v>137</v>
      </c>
      <c r="CR18" s="43">
        <f t="shared" si="24"/>
        <v>2971</v>
      </c>
      <c r="CS18">
        <v>16</v>
      </c>
      <c r="CT18">
        <f t="shared" si="88"/>
        <v>817</v>
      </c>
      <c r="CU18" s="43">
        <f t="shared" si="89"/>
        <v>123</v>
      </c>
      <c r="CV18" s="43">
        <f t="shared" si="25"/>
        <v>2662</v>
      </c>
      <c r="CW18">
        <v>16</v>
      </c>
      <c r="CX18">
        <f t="shared" si="90"/>
        <v>645</v>
      </c>
      <c r="CY18" s="43">
        <f t="shared" si="91"/>
        <v>97</v>
      </c>
      <c r="CZ18" s="43">
        <f t="shared" si="26"/>
        <v>2100</v>
      </c>
      <c r="DA18">
        <v>16</v>
      </c>
      <c r="DB18">
        <f t="shared" si="92"/>
        <v>3120</v>
      </c>
      <c r="DC18" s="43">
        <f t="shared" si="93"/>
        <v>468</v>
      </c>
      <c r="DD18" s="43">
        <f t="shared" si="27"/>
        <v>10140</v>
      </c>
      <c r="DE18">
        <v>16</v>
      </c>
      <c r="DF18">
        <f t="shared" si="94"/>
        <v>916</v>
      </c>
      <c r="DG18" s="43">
        <f t="shared" si="95"/>
        <v>137</v>
      </c>
      <c r="DH18" s="43">
        <f t="shared" si="28"/>
        <v>2971</v>
      </c>
      <c r="DI18">
        <v>16</v>
      </c>
      <c r="DJ18">
        <f t="shared" si="96"/>
        <v>760</v>
      </c>
      <c r="DK18" s="43">
        <f t="shared" si="97"/>
        <v>114</v>
      </c>
      <c r="DL18" s="43">
        <f t="shared" si="29"/>
        <v>2470</v>
      </c>
      <c r="DM18">
        <v>16</v>
      </c>
      <c r="DN18">
        <f t="shared" si="98"/>
        <v>690</v>
      </c>
      <c r="DO18" s="43">
        <f t="shared" si="99"/>
        <v>104</v>
      </c>
      <c r="DP18" s="43">
        <f t="shared" si="30"/>
        <v>2250</v>
      </c>
      <c r="DQ18">
        <v>16</v>
      </c>
      <c r="DR18">
        <f t="shared" si="100"/>
        <v>3930</v>
      </c>
      <c r="DS18" s="43">
        <f t="shared" si="101"/>
        <v>590</v>
      </c>
      <c r="DT18" s="43">
        <f t="shared" si="31"/>
        <v>12780</v>
      </c>
      <c r="DU18">
        <v>16</v>
      </c>
      <c r="DV18">
        <f t="shared" si="102"/>
        <v>916</v>
      </c>
      <c r="DW18" s="43">
        <f t="shared" si="103"/>
        <v>137</v>
      </c>
      <c r="DX18" s="43">
        <f t="shared" si="32"/>
        <v>2971</v>
      </c>
      <c r="DY18">
        <v>16</v>
      </c>
      <c r="DZ18">
        <f t="shared" si="104"/>
        <v>880</v>
      </c>
      <c r="EA18" s="43">
        <f t="shared" si="105"/>
        <v>132</v>
      </c>
      <c r="EB18" s="43">
        <f t="shared" si="33"/>
        <v>2860</v>
      </c>
      <c r="EC18">
        <v>16</v>
      </c>
      <c r="ED18">
        <f t="shared" si="106"/>
        <v>720</v>
      </c>
      <c r="EE18" s="43">
        <f t="shared" si="107"/>
        <v>108</v>
      </c>
      <c r="EF18" s="43">
        <f t="shared" si="34"/>
        <v>2340</v>
      </c>
      <c r="EG18">
        <v>16</v>
      </c>
      <c r="EH18">
        <f t="shared" si="108"/>
        <v>3566</v>
      </c>
      <c r="EI18" s="43">
        <f t="shared" si="109"/>
        <v>535</v>
      </c>
      <c r="EJ18" s="43">
        <f t="shared" si="35"/>
        <v>11591</v>
      </c>
      <c r="EK18">
        <v>16</v>
      </c>
      <c r="EL18">
        <f t="shared" si="110"/>
        <v>916</v>
      </c>
      <c r="EM18" s="43">
        <f t="shared" si="111"/>
        <v>137</v>
      </c>
      <c r="EN18" s="43">
        <f t="shared" si="36"/>
        <v>2971</v>
      </c>
      <c r="EO18">
        <v>16</v>
      </c>
      <c r="EP18">
        <f t="shared" si="112"/>
        <v>1010</v>
      </c>
      <c r="EQ18" s="43">
        <f t="shared" si="113"/>
        <v>152</v>
      </c>
      <c r="ER18" s="43">
        <f t="shared" si="37"/>
        <v>3290</v>
      </c>
      <c r="ES18">
        <v>16</v>
      </c>
      <c r="ET18">
        <f t="shared" si="114"/>
        <v>645</v>
      </c>
      <c r="EU18" s="43">
        <f t="shared" si="115"/>
        <v>97</v>
      </c>
      <c r="EV18" s="43">
        <f t="shared" si="38"/>
        <v>2100</v>
      </c>
      <c r="EW18">
        <v>16</v>
      </c>
      <c r="EX18">
        <f t="shared" si="116"/>
        <v>3260</v>
      </c>
      <c r="EY18" s="43">
        <f t="shared" si="117"/>
        <v>489</v>
      </c>
      <c r="EZ18" s="43">
        <f t="shared" si="39"/>
        <v>10595</v>
      </c>
      <c r="FA18">
        <v>16</v>
      </c>
      <c r="FB18">
        <f t="shared" si="118"/>
        <v>916</v>
      </c>
      <c r="FC18" s="43">
        <f t="shared" si="119"/>
        <v>137</v>
      </c>
      <c r="FD18" s="43">
        <f t="shared" si="40"/>
        <v>2971</v>
      </c>
    </row>
    <row r="19" spans="1:160">
      <c r="A19">
        <v>17</v>
      </c>
      <c r="B19">
        <f t="shared" si="41"/>
        <v>869</v>
      </c>
      <c r="C19" s="43">
        <f t="shared" si="42"/>
        <v>130</v>
      </c>
      <c r="D19" s="43">
        <f t="shared" si="0"/>
        <v>2949</v>
      </c>
      <c r="E19">
        <v>17</v>
      </c>
      <c r="F19">
        <f t="shared" si="43"/>
        <v>605</v>
      </c>
      <c r="G19" s="43">
        <f t="shared" si="44"/>
        <v>91</v>
      </c>
      <c r="H19" s="43">
        <f t="shared" si="1"/>
        <v>2061</v>
      </c>
      <c r="I19" s="43">
        <v>17</v>
      </c>
      <c r="J19">
        <f t="shared" si="45"/>
        <v>3220</v>
      </c>
      <c r="K19" s="43">
        <f t="shared" si="46"/>
        <v>483</v>
      </c>
      <c r="L19" s="43">
        <f t="shared" si="2"/>
        <v>10948</v>
      </c>
      <c r="M19" s="43">
        <v>17</v>
      </c>
      <c r="N19">
        <f t="shared" si="47"/>
        <v>916</v>
      </c>
      <c r="O19" s="43">
        <f t="shared" si="48"/>
        <v>137</v>
      </c>
      <c r="P19" s="43">
        <f t="shared" si="3"/>
        <v>3108</v>
      </c>
      <c r="Q19">
        <v>17</v>
      </c>
      <c r="R19">
        <f t="shared" si="49"/>
        <v>1125</v>
      </c>
      <c r="S19" s="43">
        <f t="shared" si="50"/>
        <v>169</v>
      </c>
      <c r="T19" s="43">
        <f t="shared" si="4"/>
        <v>3829</v>
      </c>
      <c r="U19">
        <v>17</v>
      </c>
      <c r="V19">
        <f t="shared" si="51"/>
        <v>569</v>
      </c>
      <c r="W19" s="43">
        <f t="shared" si="52"/>
        <v>85</v>
      </c>
      <c r="X19" s="43">
        <f t="shared" si="5"/>
        <v>1929</v>
      </c>
      <c r="Y19">
        <v>17</v>
      </c>
      <c r="Z19">
        <f t="shared" si="53"/>
        <v>3004</v>
      </c>
      <c r="AA19" s="43">
        <f t="shared" si="54"/>
        <v>451</v>
      </c>
      <c r="AB19" s="43">
        <f t="shared" si="6"/>
        <v>10220</v>
      </c>
      <c r="AC19" s="43">
        <v>17</v>
      </c>
      <c r="AD19">
        <f t="shared" si="55"/>
        <v>916</v>
      </c>
      <c r="AE19" s="43">
        <f t="shared" si="56"/>
        <v>137</v>
      </c>
      <c r="AF19" s="43">
        <f t="shared" si="7"/>
        <v>3108</v>
      </c>
      <c r="AG19" s="43">
        <v>17</v>
      </c>
      <c r="AH19">
        <f t="shared" si="57"/>
        <v>1009</v>
      </c>
      <c r="AI19" s="43">
        <f t="shared" si="58"/>
        <v>151</v>
      </c>
      <c r="AJ19" s="43">
        <f t="shared" si="8"/>
        <v>3425</v>
      </c>
      <c r="AK19" s="43">
        <v>17</v>
      </c>
      <c r="AL19">
        <f t="shared" si="59"/>
        <v>569</v>
      </c>
      <c r="AM19" s="43">
        <f t="shared" si="60"/>
        <v>85</v>
      </c>
      <c r="AN19" s="43">
        <f t="shared" si="9"/>
        <v>1929</v>
      </c>
      <c r="AO19" s="43">
        <v>17</v>
      </c>
      <c r="AP19">
        <f t="shared" si="61"/>
        <v>2836</v>
      </c>
      <c r="AQ19" s="43">
        <f t="shared" si="62"/>
        <v>425</v>
      </c>
      <c r="AR19" s="43">
        <f t="shared" si="10"/>
        <v>9636</v>
      </c>
      <c r="AS19" s="43">
        <v>17</v>
      </c>
      <c r="AT19">
        <f t="shared" si="63"/>
        <v>916</v>
      </c>
      <c r="AU19" s="43">
        <f t="shared" si="64"/>
        <v>137</v>
      </c>
      <c r="AV19" s="43">
        <f t="shared" si="11"/>
        <v>3108</v>
      </c>
      <c r="AW19">
        <v>17</v>
      </c>
      <c r="AX19">
        <f t="shared" si="65"/>
        <v>870</v>
      </c>
      <c r="AY19" s="43">
        <f t="shared" si="12"/>
        <v>131</v>
      </c>
      <c r="AZ19" s="43">
        <f t="shared" si="13"/>
        <v>2966</v>
      </c>
      <c r="BA19">
        <v>17</v>
      </c>
      <c r="BB19">
        <f t="shared" si="66"/>
        <v>649</v>
      </c>
      <c r="BC19" s="43">
        <f t="shared" si="67"/>
        <v>97</v>
      </c>
      <c r="BD19" s="43">
        <f t="shared" si="14"/>
        <v>2201</v>
      </c>
      <c r="BE19">
        <v>17</v>
      </c>
      <c r="BF19">
        <f t="shared" si="68"/>
        <v>3269</v>
      </c>
      <c r="BG19" s="43">
        <f t="shared" si="69"/>
        <v>490</v>
      </c>
      <c r="BH19" s="43">
        <f t="shared" si="15"/>
        <v>11109</v>
      </c>
      <c r="BI19" s="43">
        <v>17</v>
      </c>
      <c r="BJ19">
        <f t="shared" si="70"/>
        <v>916</v>
      </c>
      <c r="BK19" s="43">
        <f t="shared" si="71"/>
        <v>137</v>
      </c>
      <c r="BL19" s="43">
        <f t="shared" si="16"/>
        <v>3108</v>
      </c>
      <c r="BM19" s="43">
        <v>17</v>
      </c>
      <c r="BN19">
        <f t="shared" si="72"/>
        <v>640</v>
      </c>
      <c r="BO19" s="43">
        <f t="shared" si="73"/>
        <v>96</v>
      </c>
      <c r="BP19" s="43">
        <f t="shared" si="17"/>
        <v>2176</v>
      </c>
      <c r="BQ19" s="43">
        <v>17</v>
      </c>
      <c r="BR19">
        <f t="shared" si="74"/>
        <v>763</v>
      </c>
      <c r="BS19" s="43">
        <f t="shared" si="75"/>
        <v>114</v>
      </c>
      <c r="BT19" s="43">
        <f t="shared" si="18"/>
        <v>2587</v>
      </c>
      <c r="BU19" s="43">
        <v>17</v>
      </c>
      <c r="BV19">
        <f t="shared" si="76"/>
        <v>3865</v>
      </c>
      <c r="BW19" s="43">
        <f t="shared" si="77"/>
        <v>580</v>
      </c>
      <c r="BX19" s="43">
        <f t="shared" si="19"/>
        <v>13145</v>
      </c>
      <c r="BY19" s="43">
        <v>17</v>
      </c>
      <c r="BZ19">
        <f t="shared" si="78"/>
        <v>916</v>
      </c>
      <c r="CA19" s="43">
        <f t="shared" si="79"/>
        <v>137</v>
      </c>
      <c r="CB19" s="43">
        <f t="shared" si="20"/>
        <v>3108</v>
      </c>
      <c r="CC19">
        <v>17</v>
      </c>
      <c r="CD19">
        <f t="shared" si="80"/>
        <v>880</v>
      </c>
      <c r="CE19" s="43">
        <f t="shared" si="81"/>
        <v>132</v>
      </c>
      <c r="CF19" s="43">
        <f t="shared" si="21"/>
        <v>2992</v>
      </c>
      <c r="CG19">
        <v>17</v>
      </c>
      <c r="CH19">
        <f t="shared" si="82"/>
        <v>645</v>
      </c>
      <c r="CI19" s="43">
        <f t="shared" si="83"/>
        <v>97</v>
      </c>
      <c r="CJ19" s="43">
        <f t="shared" si="22"/>
        <v>2197</v>
      </c>
      <c r="CK19">
        <v>17</v>
      </c>
      <c r="CL19">
        <f t="shared" si="84"/>
        <v>3260</v>
      </c>
      <c r="CM19" s="43">
        <f t="shared" si="85"/>
        <v>489</v>
      </c>
      <c r="CN19" s="43">
        <f t="shared" si="23"/>
        <v>11084</v>
      </c>
      <c r="CO19" s="43">
        <v>17</v>
      </c>
      <c r="CP19">
        <f t="shared" si="86"/>
        <v>916</v>
      </c>
      <c r="CQ19" s="43">
        <f t="shared" si="87"/>
        <v>137</v>
      </c>
      <c r="CR19" s="43">
        <f t="shared" si="24"/>
        <v>3108</v>
      </c>
      <c r="CS19" s="43">
        <v>17</v>
      </c>
      <c r="CT19">
        <f t="shared" si="88"/>
        <v>817</v>
      </c>
      <c r="CU19" s="43">
        <f t="shared" si="89"/>
        <v>123</v>
      </c>
      <c r="CV19" s="43">
        <f t="shared" si="25"/>
        <v>2785</v>
      </c>
      <c r="CW19" s="43">
        <v>17</v>
      </c>
      <c r="CX19">
        <f t="shared" si="90"/>
        <v>645</v>
      </c>
      <c r="CY19" s="43">
        <f t="shared" si="91"/>
        <v>97</v>
      </c>
      <c r="CZ19" s="43">
        <f t="shared" si="26"/>
        <v>2197</v>
      </c>
      <c r="DA19" s="43">
        <v>17</v>
      </c>
      <c r="DB19">
        <f t="shared" si="92"/>
        <v>3120</v>
      </c>
      <c r="DC19" s="43">
        <f t="shared" si="93"/>
        <v>468</v>
      </c>
      <c r="DD19" s="43">
        <f t="shared" si="27"/>
        <v>10608</v>
      </c>
      <c r="DE19" s="43">
        <v>17</v>
      </c>
      <c r="DF19">
        <f t="shared" si="94"/>
        <v>916</v>
      </c>
      <c r="DG19" s="43">
        <f t="shared" si="95"/>
        <v>137</v>
      </c>
      <c r="DH19" s="43">
        <f t="shared" si="28"/>
        <v>3108</v>
      </c>
      <c r="DI19" s="43">
        <v>17</v>
      </c>
      <c r="DJ19">
        <f t="shared" si="96"/>
        <v>760</v>
      </c>
      <c r="DK19" s="43">
        <f t="shared" si="97"/>
        <v>114</v>
      </c>
      <c r="DL19" s="43">
        <f t="shared" si="29"/>
        <v>2584</v>
      </c>
      <c r="DM19" s="43">
        <v>17</v>
      </c>
      <c r="DN19">
        <f t="shared" si="98"/>
        <v>690</v>
      </c>
      <c r="DO19" s="43">
        <f t="shared" si="99"/>
        <v>104</v>
      </c>
      <c r="DP19" s="43">
        <f t="shared" si="30"/>
        <v>2354</v>
      </c>
      <c r="DQ19" s="43">
        <v>17</v>
      </c>
      <c r="DR19">
        <f t="shared" si="100"/>
        <v>3930</v>
      </c>
      <c r="DS19" s="43">
        <f t="shared" si="101"/>
        <v>590</v>
      </c>
      <c r="DT19" s="43">
        <f t="shared" si="31"/>
        <v>13370</v>
      </c>
      <c r="DU19" s="43">
        <v>17</v>
      </c>
      <c r="DV19">
        <f t="shared" si="102"/>
        <v>916</v>
      </c>
      <c r="DW19" s="43">
        <f t="shared" si="103"/>
        <v>137</v>
      </c>
      <c r="DX19" s="43">
        <f t="shared" si="32"/>
        <v>3108</v>
      </c>
      <c r="DY19">
        <v>17</v>
      </c>
      <c r="DZ19">
        <f t="shared" si="104"/>
        <v>880</v>
      </c>
      <c r="EA19" s="43">
        <f t="shared" si="105"/>
        <v>132</v>
      </c>
      <c r="EB19" s="43">
        <f t="shared" si="33"/>
        <v>2992</v>
      </c>
      <c r="EC19">
        <v>17</v>
      </c>
      <c r="ED19">
        <f t="shared" si="106"/>
        <v>720</v>
      </c>
      <c r="EE19" s="43">
        <f t="shared" si="107"/>
        <v>108</v>
      </c>
      <c r="EF19" s="43">
        <f t="shared" si="34"/>
        <v>2448</v>
      </c>
      <c r="EG19">
        <v>17</v>
      </c>
      <c r="EH19">
        <f t="shared" si="108"/>
        <v>3566</v>
      </c>
      <c r="EI19" s="43">
        <f t="shared" si="109"/>
        <v>535</v>
      </c>
      <c r="EJ19" s="43">
        <f t="shared" si="35"/>
        <v>12126</v>
      </c>
      <c r="EK19" s="43">
        <v>17</v>
      </c>
      <c r="EL19">
        <f t="shared" si="110"/>
        <v>916</v>
      </c>
      <c r="EM19" s="43">
        <f t="shared" si="111"/>
        <v>137</v>
      </c>
      <c r="EN19" s="43">
        <f t="shared" si="36"/>
        <v>3108</v>
      </c>
      <c r="EO19" s="43">
        <v>17</v>
      </c>
      <c r="EP19">
        <f t="shared" si="112"/>
        <v>1010</v>
      </c>
      <c r="EQ19" s="43">
        <f t="shared" si="113"/>
        <v>152</v>
      </c>
      <c r="ER19" s="43">
        <f t="shared" si="37"/>
        <v>3442</v>
      </c>
      <c r="ES19" s="43">
        <v>17</v>
      </c>
      <c r="ET19">
        <f t="shared" si="114"/>
        <v>645</v>
      </c>
      <c r="EU19" s="43">
        <f t="shared" si="115"/>
        <v>97</v>
      </c>
      <c r="EV19" s="43">
        <f t="shared" si="38"/>
        <v>2197</v>
      </c>
      <c r="EW19" s="43">
        <v>17</v>
      </c>
      <c r="EX19">
        <f t="shared" si="116"/>
        <v>3260</v>
      </c>
      <c r="EY19" s="43">
        <f t="shared" si="117"/>
        <v>489</v>
      </c>
      <c r="EZ19" s="43">
        <f t="shared" si="39"/>
        <v>11084</v>
      </c>
      <c r="FA19" s="43">
        <v>17</v>
      </c>
      <c r="FB19">
        <f t="shared" si="118"/>
        <v>916</v>
      </c>
      <c r="FC19" s="43">
        <f t="shared" si="119"/>
        <v>137</v>
      </c>
      <c r="FD19" s="43">
        <f t="shared" si="40"/>
        <v>3108</v>
      </c>
    </row>
    <row r="20" spans="1:160">
      <c r="A20">
        <v>18</v>
      </c>
      <c r="B20">
        <f t="shared" si="41"/>
        <v>869</v>
      </c>
      <c r="C20" s="43">
        <f t="shared" si="42"/>
        <v>130</v>
      </c>
      <c r="D20" s="43">
        <f t="shared" si="0"/>
        <v>3079</v>
      </c>
      <c r="E20">
        <v>18</v>
      </c>
      <c r="F20">
        <f t="shared" si="43"/>
        <v>605</v>
      </c>
      <c r="G20" s="43">
        <f t="shared" si="44"/>
        <v>91</v>
      </c>
      <c r="H20" s="43">
        <f t="shared" si="1"/>
        <v>2152</v>
      </c>
      <c r="I20">
        <v>18</v>
      </c>
      <c r="J20">
        <f t="shared" si="45"/>
        <v>3220</v>
      </c>
      <c r="K20" s="43">
        <f t="shared" si="46"/>
        <v>483</v>
      </c>
      <c r="L20" s="43">
        <f t="shared" si="2"/>
        <v>11431</v>
      </c>
      <c r="M20">
        <v>18</v>
      </c>
      <c r="N20">
        <f t="shared" si="47"/>
        <v>916</v>
      </c>
      <c r="O20" s="43">
        <f t="shared" si="48"/>
        <v>137</v>
      </c>
      <c r="P20" s="43">
        <f t="shared" si="3"/>
        <v>3245</v>
      </c>
      <c r="Q20">
        <v>18</v>
      </c>
      <c r="R20">
        <f t="shared" si="49"/>
        <v>1125</v>
      </c>
      <c r="S20" s="43">
        <f t="shared" si="50"/>
        <v>169</v>
      </c>
      <c r="T20" s="43">
        <f t="shared" si="4"/>
        <v>3998</v>
      </c>
      <c r="U20">
        <v>18</v>
      </c>
      <c r="V20">
        <f t="shared" si="51"/>
        <v>569</v>
      </c>
      <c r="W20" s="43">
        <f t="shared" si="52"/>
        <v>85</v>
      </c>
      <c r="X20" s="43">
        <f t="shared" si="5"/>
        <v>2014</v>
      </c>
      <c r="Y20">
        <v>18</v>
      </c>
      <c r="Z20">
        <f t="shared" si="53"/>
        <v>3004</v>
      </c>
      <c r="AA20" s="43">
        <f t="shared" si="54"/>
        <v>451</v>
      </c>
      <c r="AB20" s="43">
        <f t="shared" si="6"/>
        <v>10671</v>
      </c>
      <c r="AC20">
        <v>18</v>
      </c>
      <c r="AD20">
        <f t="shared" si="55"/>
        <v>916</v>
      </c>
      <c r="AE20" s="43">
        <f t="shared" si="56"/>
        <v>137</v>
      </c>
      <c r="AF20" s="43">
        <f t="shared" si="7"/>
        <v>3245</v>
      </c>
      <c r="AG20">
        <v>18</v>
      </c>
      <c r="AH20">
        <f t="shared" si="57"/>
        <v>1009</v>
      </c>
      <c r="AI20" s="43">
        <f t="shared" si="58"/>
        <v>151</v>
      </c>
      <c r="AJ20" s="43">
        <f t="shared" si="8"/>
        <v>3576</v>
      </c>
      <c r="AK20">
        <v>18</v>
      </c>
      <c r="AL20">
        <f t="shared" si="59"/>
        <v>569</v>
      </c>
      <c r="AM20" s="43">
        <f t="shared" si="60"/>
        <v>85</v>
      </c>
      <c r="AN20" s="43">
        <f t="shared" si="9"/>
        <v>2014</v>
      </c>
      <c r="AO20">
        <v>18</v>
      </c>
      <c r="AP20">
        <f t="shared" si="61"/>
        <v>2836</v>
      </c>
      <c r="AQ20" s="43">
        <f t="shared" si="62"/>
        <v>425</v>
      </c>
      <c r="AR20" s="43">
        <f t="shared" si="10"/>
        <v>10061</v>
      </c>
      <c r="AS20">
        <v>18</v>
      </c>
      <c r="AT20">
        <f t="shared" si="63"/>
        <v>916</v>
      </c>
      <c r="AU20" s="43">
        <f t="shared" si="64"/>
        <v>137</v>
      </c>
      <c r="AV20" s="43">
        <f t="shared" si="11"/>
        <v>3245</v>
      </c>
      <c r="AW20">
        <v>18</v>
      </c>
      <c r="AX20">
        <f t="shared" si="65"/>
        <v>870</v>
      </c>
      <c r="AY20" s="43">
        <f t="shared" si="12"/>
        <v>131</v>
      </c>
      <c r="AZ20" s="43">
        <f t="shared" si="13"/>
        <v>3097</v>
      </c>
      <c r="BA20">
        <v>18</v>
      </c>
      <c r="BB20">
        <f t="shared" si="66"/>
        <v>649</v>
      </c>
      <c r="BC20" s="43">
        <f t="shared" si="67"/>
        <v>97</v>
      </c>
      <c r="BD20" s="43">
        <f t="shared" si="14"/>
        <v>2298</v>
      </c>
      <c r="BE20">
        <v>18</v>
      </c>
      <c r="BF20">
        <f t="shared" si="68"/>
        <v>3269</v>
      </c>
      <c r="BG20" s="43">
        <f t="shared" si="69"/>
        <v>490</v>
      </c>
      <c r="BH20" s="43">
        <f t="shared" si="15"/>
        <v>11599</v>
      </c>
      <c r="BI20">
        <v>18</v>
      </c>
      <c r="BJ20">
        <f t="shared" si="70"/>
        <v>916</v>
      </c>
      <c r="BK20" s="43">
        <f t="shared" si="71"/>
        <v>137</v>
      </c>
      <c r="BL20" s="43">
        <f t="shared" si="16"/>
        <v>3245</v>
      </c>
      <c r="BM20">
        <v>18</v>
      </c>
      <c r="BN20">
        <f t="shared" si="72"/>
        <v>640</v>
      </c>
      <c r="BO20" s="43">
        <f t="shared" si="73"/>
        <v>96</v>
      </c>
      <c r="BP20" s="43">
        <f t="shared" si="17"/>
        <v>2272</v>
      </c>
      <c r="BQ20">
        <v>18</v>
      </c>
      <c r="BR20">
        <f t="shared" si="74"/>
        <v>763</v>
      </c>
      <c r="BS20" s="43">
        <f t="shared" si="75"/>
        <v>114</v>
      </c>
      <c r="BT20" s="43">
        <f t="shared" si="18"/>
        <v>2701</v>
      </c>
      <c r="BU20">
        <v>18</v>
      </c>
      <c r="BV20">
        <f t="shared" si="76"/>
        <v>3865</v>
      </c>
      <c r="BW20" s="43">
        <f t="shared" si="77"/>
        <v>580</v>
      </c>
      <c r="BX20" s="43">
        <f t="shared" si="19"/>
        <v>13725</v>
      </c>
      <c r="BY20">
        <v>18</v>
      </c>
      <c r="BZ20">
        <f t="shared" si="78"/>
        <v>916</v>
      </c>
      <c r="CA20" s="43">
        <f t="shared" si="79"/>
        <v>137</v>
      </c>
      <c r="CB20" s="43">
        <f t="shared" si="20"/>
        <v>3245</v>
      </c>
      <c r="CC20">
        <v>18</v>
      </c>
      <c r="CD20">
        <f t="shared" si="80"/>
        <v>880</v>
      </c>
      <c r="CE20" s="43">
        <f t="shared" si="81"/>
        <v>132</v>
      </c>
      <c r="CF20" s="43">
        <f t="shared" si="21"/>
        <v>3124</v>
      </c>
      <c r="CG20">
        <v>18</v>
      </c>
      <c r="CH20">
        <f t="shared" si="82"/>
        <v>645</v>
      </c>
      <c r="CI20" s="43">
        <f t="shared" si="83"/>
        <v>97</v>
      </c>
      <c r="CJ20" s="43">
        <f t="shared" si="22"/>
        <v>2294</v>
      </c>
      <c r="CK20">
        <v>18</v>
      </c>
      <c r="CL20">
        <f t="shared" si="84"/>
        <v>3260</v>
      </c>
      <c r="CM20" s="43">
        <f t="shared" si="85"/>
        <v>489</v>
      </c>
      <c r="CN20" s="43">
        <f t="shared" si="23"/>
        <v>11573</v>
      </c>
      <c r="CO20">
        <v>18</v>
      </c>
      <c r="CP20">
        <f t="shared" si="86"/>
        <v>916</v>
      </c>
      <c r="CQ20" s="43">
        <f t="shared" si="87"/>
        <v>137</v>
      </c>
      <c r="CR20" s="43">
        <f t="shared" si="24"/>
        <v>3245</v>
      </c>
      <c r="CS20">
        <v>18</v>
      </c>
      <c r="CT20">
        <f t="shared" si="88"/>
        <v>817</v>
      </c>
      <c r="CU20" s="43">
        <f t="shared" si="89"/>
        <v>123</v>
      </c>
      <c r="CV20" s="43">
        <f t="shared" si="25"/>
        <v>2908</v>
      </c>
      <c r="CW20">
        <v>18</v>
      </c>
      <c r="CX20">
        <f t="shared" si="90"/>
        <v>645</v>
      </c>
      <c r="CY20" s="43">
        <f t="shared" si="91"/>
        <v>97</v>
      </c>
      <c r="CZ20" s="43">
        <f t="shared" si="26"/>
        <v>2294</v>
      </c>
      <c r="DA20">
        <v>18</v>
      </c>
      <c r="DB20">
        <f t="shared" si="92"/>
        <v>3120</v>
      </c>
      <c r="DC20" s="43">
        <f t="shared" si="93"/>
        <v>468</v>
      </c>
      <c r="DD20" s="43">
        <f t="shared" si="27"/>
        <v>11076</v>
      </c>
      <c r="DE20">
        <v>18</v>
      </c>
      <c r="DF20">
        <f t="shared" si="94"/>
        <v>916</v>
      </c>
      <c r="DG20" s="43">
        <f t="shared" si="95"/>
        <v>137</v>
      </c>
      <c r="DH20" s="43">
        <f t="shared" si="28"/>
        <v>3245</v>
      </c>
      <c r="DI20">
        <v>18</v>
      </c>
      <c r="DJ20">
        <f t="shared" si="96"/>
        <v>760</v>
      </c>
      <c r="DK20" s="43">
        <f t="shared" si="97"/>
        <v>114</v>
      </c>
      <c r="DL20" s="43">
        <f t="shared" si="29"/>
        <v>2698</v>
      </c>
      <c r="DM20">
        <v>18</v>
      </c>
      <c r="DN20">
        <f t="shared" si="98"/>
        <v>690</v>
      </c>
      <c r="DO20" s="43">
        <f t="shared" si="99"/>
        <v>104</v>
      </c>
      <c r="DP20" s="43">
        <f t="shared" si="30"/>
        <v>2458</v>
      </c>
      <c r="DQ20">
        <v>18</v>
      </c>
      <c r="DR20">
        <f t="shared" si="100"/>
        <v>3930</v>
      </c>
      <c r="DS20" s="43">
        <f t="shared" si="101"/>
        <v>590</v>
      </c>
      <c r="DT20" s="43">
        <f t="shared" si="31"/>
        <v>13960</v>
      </c>
      <c r="DU20">
        <v>18</v>
      </c>
      <c r="DV20">
        <f t="shared" si="102"/>
        <v>916</v>
      </c>
      <c r="DW20" s="43">
        <f t="shared" si="103"/>
        <v>137</v>
      </c>
      <c r="DX20" s="43">
        <f t="shared" si="32"/>
        <v>3245</v>
      </c>
      <c r="DY20">
        <v>18</v>
      </c>
      <c r="DZ20">
        <f t="shared" si="104"/>
        <v>880</v>
      </c>
      <c r="EA20" s="43">
        <f t="shared" si="105"/>
        <v>132</v>
      </c>
      <c r="EB20" s="43">
        <f t="shared" si="33"/>
        <v>3124</v>
      </c>
      <c r="EC20">
        <v>18</v>
      </c>
      <c r="ED20">
        <f t="shared" si="106"/>
        <v>720</v>
      </c>
      <c r="EE20" s="43">
        <f t="shared" si="107"/>
        <v>108</v>
      </c>
      <c r="EF20" s="43">
        <f t="shared" si="34"/>
        <v>2556</v>
      </c>
      <c r="EG20">
        <v>18</v>
      </c>
      <c r="EH20">
        <f t="shared" si="108"/>
        <v>3566</v>
      </c>
      <c r="EI20" s="43">
        <f t="shared" si="109"/>
        <v>535</v>
      </c>
      <c r="EJ20" s="43">
        <f t="shared" si="35"/>
        <v>12661</v>
      </c>
      <c r="EK20">
        <v>18</v>
      </c>
      <c r="EL20">
        <f t="shared" si="110"/>
        <v>916</v>
      </c>
      <c r="EM20" s="43">
        <f t="shared" si="111"/>
        <v>137</v>
      </c>
      <c r="EN20" s="43">
        <f t="shared" si="36"/>
        <v>3245</v>
      </c>
      <c r="EO20">
        <v>18</v>
      </c>
      <c r="EP20">
        <f t="shared" si="112"/>
        <v>1010</v>
      </c>
      <c r="EQ20" s="43">
        <f t="shared" si="113"/>
        <v>152</v>
      </c>
      <c r="ER20" s="43">
        <f t="shared" si="37"/>
        <v>3594</v>
      </c>
      <c r="ES20">
        <v>18</v>
      </c>
      <c r="ET20">
        <f t="shared" si="114"/>
        <v>645</v>
      </c>
      <c r="EU20" s="43">
        <f t="shared" si="115"/>
        <v>97</v>
      </c>
      <c r="EV20" s="43">
        <f t="shared" si="38"/>
        <v>2294</v>
      </c>
      <c r="EW20">
        <v>18</v>
      </c>
      <c r="EX20">
        <f t="shared" si="116"/>
        <v>3260</v>
      </c>
      <c r="EY20" s="43">
        <f t="shared" si="117"/>
        <v>489</v>
      </c>
      <c r="EZ20" s="43">
        <f t="shared" si="39"/>
        <v>11573</v>
      </c>
      <c r="FA20">
        <v>18</v>
      </c>
      <c r="FB20">
        <f t="shared" si="118"/>
        <v>916</v>
      </c>
      <c r="FC20" s="43">
        <f t="shared" si="119"/>
        <v>137</v>
      </c>
      <c r="FD20" s="43">
        <f t="shared" si="40"/>
        <v>3245</v>
      </c>
    </row>
    <row r="21" spans="1:160">
      <c r="A21">
        <v>19</v>
      </c>
      <c r="B21">
        <f t="shared" si="41"/>
        <v>869</v>
      </c>
      <c r="C21" s="43">
        <f t="shared" si="42"/>
        <v>130</v>
      </c>
      <c r="D21" s="43">
        <f t="shared" si="0"/>
        <v>3209</v>
      </c>
      <c r="E21">
        <v>19</v>
      </c>
      <c r="F21">
        <f t="shared" si="43"/>
        <v>605</v>
      </c>
      <c r="G21" s="43">
        <f t="shared" si="44"/>
        <v>91</v>
      </c>
      <c r="H21" s="43">
        <f t="shared" si="1"/>
        <v>2243</v>
      </c>
      <c r="I21" s="43">
        <v>19</v>
      </c>
      <c r="J21">
        <f t="shared" si="45"/>
        <v>3220</v>
      </c>
      <c r="K21" s="43">
        <f t="shared" si="46"/>
        <v>483</v>
      </c>
      <c r="L21" s="43">
        <f t="shared" si="2"/>
        <v>11914</v>
      </c>
      <c r="M21" s="43">
        <v>19</v>
      </c>
      <c r="N21">
        <f t="shared" si="47"/>
        <v>916</v>
      </c>
      <c r="O21" s="43">
        <f t="shared" si="48"/>
        <v>137</v>
      </c>
      <c r="P21" s="43">
        <f t="shared" si="3"/>
        <v>3382</v>
      </c>
      <c r="Q21">
        <v>19</v>
      </c>
      <c r="R21">
        <f t="shared" si="49"/>
        <v>1125</v>
      </c>
      <c r="S21" s="43">
        <f t="shared" si="50"/>
        <v>169</v>
      </c>
      <c r="T21" s="43">
        <f t="shared" si="4"/>
        <v>4167</v>
      </c>
      <c r="U21">
        <v>19</v>
      </c>
      <c r="V21">
        <f t="shared" si="51"/>
        <v>569</v>
      </c>
      <c r="W21" s="43">
        <f t="shared" si="52"/>
        <v>85</v>
      </c>
      <c r="X21" s="43">
        <f t="shared" si="5"/>
        <v>2099</v>
      </c>
      <c r="Y21">
        <v>19</v>
      </c>
      <c r="Z21">
        <f t="shared" si="53"/>
        <v>3004</v>
      </c>
      <c r="AA21" s="43">
        <f t="shared" si="54"/>
        <v>451</v>
      </c>
      <c r="AB21" s="43">
        <f t="shared" si="6"/>
        <v>11122</v>
      </c>
      <c r="AC21" s="43">
        <v>19</v>
      </c>
      <c r="AD21">
        <f t="shared" si="55"/>
        <v>916</v>
      </c>
      <c r="AE21" s="43">
        <f t="shared" si="56"/>
        <v>137</v>
      </c>
      <c r="AF21" s="43">
        <f t="shared" si="7"/>
        <v>3382</v>
      </c>
      <c r="AG21" s="43">
        <v>19</v>
      </c>
      <c r="AH21">
        <f t="shared" si="57"/>
        <v>1009</v>
      </c>
      <c r="AI21" s="43">
        <f t="shared" si="58"/>
        <v>151</v>
      </c>
      <c r="AJ21" s="43">
        <f t="shared" si="8"/>
        <v>3727</v>
      </c>
      <c r="AK21" s="43">
        <v>19</v>
      </c>
      <c r="AL21">
        <f t="shared" si="59"/>
        <v>569</v>
      </c>
      <c r="AM21" s="43">
        <f t="shared" si="60"/>
        <v>85</v>
      </c>
      <c r="AN21" s="43">
        <f t="shared" si="9"/>
        <v>2099</v>
      </c>
      <c r="AO21" s="43">
        <v>19</v>
      </c>
      <c r="AP21">
        <f t="shared" si="61"/>
        <v>2836</v>
      </c>
      <c r="AQ21" s="43">
        <f t="shared" si="62"/>
        <v>425</v>
      </c>
      <c r="AR21" s="43">
        <f t="shared" si="10"/>
        <v>10486</v>
      </c>
      <c r="AS21" s="43">
        <v>19</v>
      </c>
      <c r="AT21">
        <f t="shared" si="63"/>
        <v>916</v>
      </c>
      <c r="AU21" s="43">
        <f t="shared" si="64"/>
        <v>137</v>
      </c>
      <c r="AV21" s="43">
        <f t="shared" si="11"/>
        <v>3382</v>
      </c>
      <c r="AW21">
        <v>19</v>
      </c>
      <c r="AX21">
        <f t="shared" si="65"/>
        <v>870</v>
      </c>
      <c r="AY21" s="43">
        <f t="shared" si="12"/>
        <v>131</v>
      </c>
      <c r="AZ21" s="43">
        <f t="shared" si="13"/>
        <v>3228</v>
      </c>
      <c r="BA21">
        <v>19</v>
      </c>
      <c r="BB21">
        <f t="shared" si="66"/>
        <v>649</v>
      </c>
      <c r="BC21" s="43">
        <f t="shared" si="67"/>
        <v>97</v>
      </c>
      <c r="BD21" s="43">
        <f t="shared" si="14"/>
        <v>2395</v>
      </c>
      <c r="BE21">
        <v>19</v>
      </c>
      <c r="BF21">
        <f t="shared" si="68"/>
        <v>3269</v>
      </c>
      <c r="BG21" s="43">
        <f t="shared" si="69"/>
        <v>490</v>
      </c>
      <c r="BH21" s="43">
        <f t="shared" si="15"/>
        <v>12089</v>
      </c>
      <c r="BI21" s="43">
        <v>19</v>
      </c>
      <c r="BJ21">
        <f t="shared" si="70"/>
        <v>916</v>
      </c>
      <c r="BK21" s="43">
        <f t="shared" si="71"/>
        <v>137</v>
      </c>
      <c r="BL21" s="43">
        <f t="shared" si="16"/>
        <v>3382</v>
      </c>
      <c r="BM21" s="43">
        <v>19</v>
      </c>
      <c r="BN21">
        <f t="shared" si="72"/>
        <v>640</v>
      </c>
      <c r="BO21" s="43">
        <f t="shared" si="73"/>
        <v>96</v>
      </c>
      <c r="BP21" s="43">
        <f t="shared" si="17"/>
        <v>2368</v>
      </c>
      <c r="BQ21" s="43">
        <v>19</v>
      </c>
      <c r="BR21">
        <f t="shared" si="74"/>
        <v>763</v>
      </c>
      <c r="BS21" s="43">
        <f t="shared" si="75"/>
        <v>114</v>
      </c>
      <c r="BT21" s="43">
        <f t="shared" si="18"/>
        <v>2815</v>
      </c>
      <c r="BU21" s="43">
        <v>19</v>
      </c>
      <c r="BV21">
        <f t="shared" si="76"/>
        <v>3865</v>
      </c>
      <c r="BW21" s="43">
        <f t="shared" si="77"/>
        <v>580</v>
      </c>
      <c r="BX21" s="43">
        <f t="shared" si="19"/>
        <v>14305</v>
      </c>
      <c r="BY21" s="43">
        <v>19</v>
      </c>
      <c r="BZ21">
        <f t="shared" si="78"/>
        <v>916</v>
      </c>
      <c r="CA21" s="43">
        <f t="shared" si="79"/>
        <v>137</v>
      </c>
      <c r="CB21" s="43">
        <f t="shared" si="20"/>
        <v>3382</v>
      </c>
      <c r="CC21">
        <v>19</v>
      </c>
      <c r="CD21">
        <f t="shared" si="80"/>
        <v>880</v>
      </c>
      <c r="CE21" s="43">
        <f t="shared" si="81"/>
        <v>132</v>
      </c>
      <c r="CF21" s="43">
        <f t="shared" si="21"/>
        <v>3256</v>
      </c>
      <c r="CG21">
        <v>19</v>
      </c>
      <c r="CH21">
        <f t="shared" si="82"/>
        <v>645</v>
      </c>
      <c r="CI21" s="43">
        <f t="shared" si="83"/>
        <v>97</v>
      </c>
      <c r="CJ21" s="43">
        <f t="shared" si="22"/>
        <v>2391</v>
      </c>
      <c r="CK21">
        <v>19</v>
      </c>
      <c r="CL21">
        <f t="shared" si="84"/>
        <v>3260</v>
      </c>
      <c r="CM21" s="43">
        <f t="shared" si="85"/>
        <v>489</v>
      </c>
      <c r="CN21" s="43">
        <f t="shared" si="23"/>
        <v>12062</v>
      </c>
      <c r="CO21" s="43">
        <v>19</v>
      </c>
      <c r="CP21">
        <f t="shared" si="86"/>
        <v>916</v>
      </c>
      <c r="CQ21" s="43">
        <f t="shared" si="87"/>
        <v>137</v>
      </c>
      <c r="CR21" s="43">
        <f t="shared" si="24"/>
        <v>3382</v>
      </c>
      <c r="CS21" s="43">
        <v>19</v>
      </c>
      <c r="CT21">
        <f t="shared" si="88"/>
        <v>817</v>
      </c>
      <c r="CU21" s="43">
        <f t="shared" si="89"/>
        <v>123</v>
      </c>
      <c r="CV21" s="43">
        <f t="shared" si="25"/>
        <v>3031</v>
      </c>
      <c r="CW21" s="43">
        <v>19</v>
      </c>
      <c r="CX21">
        <f t="shared" si="90"/>
        <v>645</v>
      </c>
      <c r="CY21" s="43">
        <f t="shared" si="91"/>
        <v>97</v>
      </c>
      <c r="CZ21" s="43">
        <f t="shared" si="26"/>
        <v>2391</v>
      </c>
      <c r="DA21" s="43">
        <v>19</v>
      </c>
      <c r="DB21">
        <f t="shared" si="92"/>
        <v>3120</v>
      </c>
      <c r="DC21" s="43">
        <f t="shared" si="93"/>
        <v>468</v>
      </c>
      <c r="DD21" s="43">
        <f t="shared" si="27"/>
        <v>11544</v>
      </c>
      <c r="DE21" s="43">
        <v>19</v>
      </c>
      <c r="DF21">
        <f t="shared" si="94"/>
        <v>916</v>
      </c>
      <c r="DG21" s="43">
        <f t="shared" si="95"/>
        <v>137</v>
      </c>
      <c r="DH21" s="43">
        <f t="shared" si="28"/>
        <v>3382</v>
      </c>
      <c r="DI21" s="43">
        <v>19</v>
      </c>
      <c r="DJ21">
        <f t="shared" si="96"/>
        <v>760</v>
      </c>
      <c r="DK21" s="43">
        <f t="shared" si="97"/>
        <v>114</v>
      </c>
      <c r="DL21" s="43">
        <f t="shared" si="29"/>
        <v>2812</v>
      </c>
      <c r="DM21" s="43">
        <v>19</v>
      </c>
      <c r="DN21">
        <f t="shared" si="98"/>
        <v>690</v>
      </c>
      <c r="DO21" s="43">
        <f t="shared" si="99"/>
        <v>104</v>
      </c>
      <c r="DP21" s="43">
        <f t="shared" si="30"/>
        <v>2562</v>
      </c>
      <c r="DQ21" s="43">
        <v>19</v>
      </c>
      <c r="DR21">
        <f t="shared" si="100"/>
        <v>3930</v>
      </c>
      <c r="DS21" s="43">
        <f t="shared" si="101"/>
        <v>590</v>
      </c>
      <c r="DT21" s="43">
        <f t="shared" si="31"/>
        <v>14550</v>
      </c>
      <c r="DU21" s="43">
        <v>19</v>
      </c>
      <c r="DV21">
        <f t="shared" si="102"/>
        <v>916</v>
      </c>
      <c r="DW21" s="43">
        <f t="shared" si="103"/>
        <v>137</v>
      </c>
      <c r="DX21" s="43">
        <f t="shared" si="32"/>
        <v>3382</v>
      </c>
      <c r="DY21">
        <v>19</v>
      </c>
      <c r="DZ21">
        <f t="shared" si="104"/>
        <v>880</v>
      </c>
      <c r="EA21" s="43">
        <f t="shared" si="105"/>
        <v>132</v>
      </c>
      <c r="EB21" s="43">
        <f t="shared" si="33"/>
        <v>3256</v>
      </c>
      <c r="EC21">
        <v>19</v>
      </c>
      <c r="ED21">
        <f t="shared" si="106"/>
        <v>720</v>
      </c>
      <c r="EE21" s="43">
        <f t="shared" si="107"/>
        <v>108</v>
      </c>
      <c r="EF21" s="43">
        <f t="shared" si="34"/>
        <v>2664</v>
      </c>
      <c r="EG21">
        <v>19</v>
      </c>
      <c r="EH21">
        <f t="shared" si="108"/>
        <v>3566</v>
      </c>
      <c r="EI21" s="43">
        <f t="shared" si="109"/>
        <v>535</v>
      </c>
      <c r="EJ21" s="43">
        <f t="shared" si="35"/>
        <v>13196</v>
      </c>
      <c r="EK21" s="43">
        <v>19</v>
      </c>
      <c r="EL21">
        <f t="shared" si="110"/>
        <v>916</v>
      </c>
      <c r="EM21" s="43">
        <f t="shared" si="111"/>
        <v>137</v>
      </c>
      <c r="EN21" s="43">
        <f t="shared" si="36"/>
        <v>3382</v>
      </c>
      <c r="EO21" s="43">
        <v>19</v>
      </c>
      <c r="EP21">
        <f t="shared" si="112"/>
        <v>1010</v>
      </c>
      <c r="EQ21" s="43">
        <f t="shared" si="113"/>
        <v>152</v>
      </c>
      <c r="ER21" s="43">
        <f t="shared" si="37"/>
        <v>3746</v>
      </c>
      <c r="ES21" s="43">
        <v>19</v>
      </c>
      <c r="ET21">
        <f t="shared" si="114"/>
        <v>645</v>
      </c>
      <c r="EU21" s="43">
        <f t="shared" si="115"/>
        <v>97</v>
      </c>
      <c r="EV21" s="43">
        <f t="shared" si="38"/>
        <v>2391</v>
      </c>
      <c r="EW21" s="43">
        <v>19</v>
      </c>
      <c r="EX21">
        <f t="shared" si="116"/>
        <v>3260</v>
      </c>
      <c r="EY21" s="43">
        <f t="shared" si="117"/>
        <v>489</v>
      </c>
      <c r="EZ21" s="43">
        <f t="shared" si="39"/>
        <v>12062</v>
      </c>
      <c r="FA21" s="43">
        <v>19</v>
      </c>
      <c r="FB21">
        <f t="shared" si="118"/>
        <v>916</v>
      </c>
      <c r="FC21" s="43">
        <f t="shared" si="119"/>
        <v>137</v>
      </c>
      <c r="FD21" s="43">
        <f t="shared" si="40"/>
        <v>3382</v>
      </c>
    </row>
    <row r="22" spans="1:160">
      <c r="A22">
        <v>20</v>
      </c>
      <c r="B22">
        <f t="shared" si="41"/>
        <v>869</v>
      </c>
      <c r="C22" s="43">
        <f t="shared" si="42"/>
        <v>130</v>
      </c>
      <c r="D22" s="43">
        <f t="shared" si="0"/>
        <v>3339</v>
      </c>
      <c r="E22">
        <v>20</v>
      </c>
      <c r="F22">
        <f t="shared" si="43"/>
        <v>605</v>
      </c>
      <c r="G22" s="43">
        <f t="shared" si="44"/>
        <v>91</v>
      </c>
      <c r="H22" s="43">
        <f t="shared" si="1"/>
        <v>2334</v>
      </c>
      <c r="I22">
        <v>20</v>
      </c>
      <c r="J22">
        <f t="shared" si="45"/>
        <v>3220</v>
      </c>
      <c r="K22" s="43">
        <f t="shared" si="46"/>
        <v>483</v>
      </c>
      <c r="L22" s="43">
        <f t="shared" si="2"/>
        <v>12397</v>
      </c>
      <c r="M22">
        <v>20</v>
      </c>
      <c r="N22">
        <f t="shared" si="47"/>
        <v>916</v>
      </c>
      <c r="O22" s="43">
        <f t="shared" si="48"/>
        <v>137</v>
      </c>
      <c r="P22" s="43">
        <f t="shared" si="3"/>
        <v>3519</v>
      </c>
      <c r="Q22">
        <v>20</v>
      </c>
      <c r="R22">
        <f t="shared" si="49"/>
        <v>1125</v>
      </c>
      <c r="S22" s="43">
        <f t="shared" si="50"/>
        <v>169</v>
      </c>
      <c r="T22" s="43">
        <f t="shared" si="4"/>
        <v>4336</v>
      </c>
      <c r="U22">
        <v>20</v>
      </c>
      <c r="V22">
        <f t="shared" si="51"/>
        <v>569</v>
      </c>
      <c r="W22" s="43">
        <f t="shared" si="52"/>
        <v>85</v>
      </c>
      <c r="X22" s="43">
        <f t="shared" si="5"/>
        <v>2184</v>
      </c>
      <c r="Y22">
        <v>20</v>
      </c>
      <c r="Z22">
        <f t="shared" si="53"/>
        <v>3004</v>
      </c>
      <c r="AA22" s="43">
        <f t="shared" si="54"/>
        <v>451</v>
      </c>
      <c r="AB22" s="43">
        <f t="shared" si="6"/>
        <v>11573</v>
      </c>
      <c r="AC22">
        <v>20</v>
      </c>
      <c r="AD22">
        <f t="shared" si="55"/>
        <v>916</v>
      </c>
      <c r="AE22" s="43">
        <f t="shared" si="56"/>
        <v>137</v>
      </c>
      <c r="AF22" s="43">
        <f t="shared" si="7"/>
        <v>3519</v>
      </c>
      <c r="AG22">
        <v>20</v>
      </c>
      <c r="AH22">
        <f t="shared" si="57"/>
        <v>1009</v>
      </c>
      <c r="AI22" s="43">
        <f t="shared" si="58"/>
        <v>151</v>
      </c>
      <c r="AJ22" s="43">
        <f t="shared" si="8"/>
        <v>3878</v>
      </c>
      <c r="AK22">
        <v>20</v>
      </c>
      <c r="AL22">
        <f t="shared" si="59"/>
        <v>569</v>
      </c>
      <c r="AM22" s="43">
        <f t="shared" si="60"/>
        <v>85</v>
      </c>
      <c r="AN22" s="43">
        <f t="shared" si="9"/>
        <v>2184</v>
      </c>
      <c r="AO22">
        <v>20</v>
      </c>
      <c r="AP22">
        <f t="shared" si="61"/>
        <v>2836</v>
      </c>
      <c r="AQ22" s="43">
        <f t="shared" si="62"/>
        <v>425</v>
      </c>
      <c r="AR22" s="43">
        <f t="shared" si="10"/>
        <v>10911</v>
      </c>
      <c r="AS22">
        <v>20</v>
      </c>
      <c r="AT22">
        <f t="shared" si="63"/>
        <v>916</v>
      </c>
      <c r="AU22" s="43">
        <f t="shared" si="64"/>
        <v>137</v>
      </c>
      <c r="AV22" s="43">
        <f t="shared" si="11"/>
        <v>3519</v>
      </c>
      <c r="AW22">
        <v>20</v>
      </c>
      <c r="AX22">
        <f t="shared" si="65"/>
        <v>870</v>
      </c>
      <c r="AY22" s="43">
        <f t="shared" si="12"/>
        <v>131</v>
      </c>
      <c r="AZ22" s="43">
        <f t="shared" si="13"/>
        <v>3359</v>
      </c>
      <c r="BA22">
        <v>20</v>
      </c>
      <c r="BB22">
        <f t="shared" si="66"/>
        <v>649</v>
      </c>
      <c r="BC22" s="43">
        <f t="shared" si="67"/>
        <v>97</v>
      </c>
      <c r="BD22" s="43">
        <f t="shared" si="14"/>
        <v>2492</v>
      </c>
      <c r="BE22">
        <v>20</v>
      </c>
      <c r="BF22">
        <f t="shared" si="68"/>
        <v>3269</v>
      </c>
      <c r="BG22" s="43">
        <f t="shared" si="69"/>
        <v>490</v>
      </c>
      <c r="BH22" s="43">
        <f t="shared" si="15"/>
        <v>12579</v>
      </c>
      <c r="BI22">
        <v>20</v>
      </c>
      <c r="BJ22">
        <f t="shared" si="70"/>
        <v>916</v>
      </c>
      <c r="BK22" s="43">
        <f t="shared" si="71"/>
        <v>137</v>
      </c>
      <c r="BL22" s="43">
        <f t="shared" si="16"/>
        <v>3519</v>
      </c>
      <c r="BM22">
        <v>20</v>
      </c>
      <c r="BN22">
        <f t="shared" si="72"/>
        <v>640</v>
      </c>
      <c r="BO22" s="43">
        <f t="shared" si="73"/>
        <v>96</v>
      </c>
      <c r="BP22" s="43">
        <f t="shared" si="17"/>
        <v>2464</v>
      </c>
      <c r="BQ22">
        <v>20</v>
      </c>
      <c r="BR22">
        <f t="shared" si="74"/>
        <v>763</v>
      </c>
      <c r="BS22" s="43">
        <f t="shared" si="75"/>
        <v>114</v>
      </c>
      <c r="BT22" s="43">
        <f t="shared" si="18"/>
        <v>2929</v>
      </c>
      <c r="BU22">
        <v>20</v>
      </c>
      <c r="BV22">
        <f t="shared" si="76"/>
        <v>3865</v>
      </c>
      <c r="BW22" s="43">
        <f t="shared" si="77"/>
        <v>580</v>
      </c>
      <c r="BX22" s="43">
        <f t="shared" si="19"/>
        <v>14885</v>
      </c>
      <c r="BY22">
        <v>20</v>
      </c>
      <c r="BZ22">
        <f t="shared" si="78"/>
        <v>916</v>
      </c>
      <c r="CA22" s="43">
        <f t="shared" si="79"/>
        <v>137</v>
      </c>
      <c r="CB22" s="43">
        <f t="shared" si="20"/>
        <v>3519</v>
      </c>
      <c r="CC22">
        <v>20</v>
      </c>
      <c r="CD22">
        <f t="shared" si="80"/>
        <v>880</v>
      </c>
      <c r="CE22" s="43">
        <f t="shared" si="81"/>
        <v>132</v>
      </c>
      <c r="CF22" s="43">
        <f t="shared" si="21"/>
        <v>3388</v>
      </c>
      <c r="CG22">
        <v>20</v>
      </c>
      <c r="CH22">
        <f t="shared" si="82"/>
        <v>645</v>
      </c>
      <c r="CI22" s="43">
        <f t="shared" si="83"/>
        <v>97</v>
      </c>
      <c r="CJ22" s="43">
        <f t="shared" si="22"/>
        <v>2488</v>
      </c>
      <c r="CK22">
        <v>20</v>
      </c>
      <c r="CL22">
        <f t="shared" si="84"/>
        <v>3260</v>
      </c>
      <c r="CM22" s="43">
        <f t="shared" si="85"/>
        <v>489</v>
      </c>
      <c r="CN22" s="43">
        <f t="shared" si="23"/>
        <v>12551</v>
      </c>
      <c r="CO22">
        <v>20</v>
      </c>
      <c r="CP22">
        <f t="shared" si="86"/>
        <v>916</v>
      </c>
      <c r="CQ22" s="43">
        <f t="shared" si="87"/>
        <v>137</v>
      </c>
      <c r="CR22" s="43">
        <f t="shared" si="24"/>
        <v>3519</v>
      </c>
      <c r="CS22">
        <v>20</v>
      </c>
      <c r="CT22">
        <f t="shared" si="88"/>
        <v>817</v>
      </c>
      <c r="CU22" s="43">
        <f t="shared" si="89"/>
        <v>123</v>
      </c>
      <c r="CV22" s="43">
        <f t="shared" si="25"/>
        <v>3154</v>
      </c>
      <c r="CW22">
        <v>20</v>
      </c>
      <c r="CX22">
        <f t="shared" si="90"/>
        <v>645</v>
      </c>
      <c r="CY22" s="43">
        <f t="shared" si="91"/>
        <v>97</v>
      </c>
      <c r="CZ22" s="43">
        <f t="shared" si="26"/>
        <v>2488</v>
      </c>
      <c r="DA22">
        <v>20</v>
      </c>
      <c r="DB22">
        <f t="shared" si="92"/>
        <v>3120</v>
      </c>
      <c r="DC22" s="43">
        <f t="shared" si="93"/>
        <v>468</v>
      </c>
      <c r="DD22" s="43">
        <f t="shared" si="27"/>
        <v>12012</v>
      </c>
      <c r="DE22">
        <v>20</v>
      </c>
      <c r="DF22">
        <f t="shared" si="94"/>
        <v>916</v>
      </c>
      <c r="DG22" s="43">
        <f t="shared" si="95"/>
        <v>137</v>
      </c>
      <c r="DH22" s="43">
        <f t="shared" si="28"/>
        <v>3519</v>
      </c>
      <c r="DI22">
        <v>20</v>
      </c>
      <c r="DJ22">
        <f t="shared" si="96"/>
        <v>760</v>
      </c>
      <c r="DK22" s="43">
        <f t="shared" si="97"/>
        <v>114</v>
      </c>
      <c r="DL22" s="43">
        <f t="shared" si="29"/>
        <v>2926</v>
      </c>
      <c r="DM22">
        <v>20</v>
      </c>
      <c r="DN22">
        <f t="shared" si="98"/>
        <v>690</v>
      </c>
      <c r="DO22" s="43">
        <f t="shared" si="99"/>
        <v>104</v>
      </c>
      <c r="DP22" s="43">
        <f t="shared" si="30"/>
        <v>2666</v>
      </c>
      <c r="DQ22">
        <v>20</v>
      </c>
      <c r="DR22">
        <f t="shared" si="100"/>
        <v>3930</v>
      </c>
      <c r="DS22" s="43">
        <f t="shared" si="101"/>
        <v>590</v>
      </c>
      <c r="DT22" s="43">
        <f t="shared" si="31"/>
        <v>15140</v>
      </c>
      <c r="DU22">
        <v>20</v>
      </c>
      <c r="DV22">
        <f t="shared" si="102"/>
        <v>916</v>
      </c>
      <c r="DW22" s="43">
        <f t="shared" si="103"/>
        <v>137</v>
      </c>
      <c r="DX22" s="43">
        <f t="shared" si="32"/>
        <v>3519</v>
      </c>
      <c r="DY22">
        <v>20</v>
      </c>
      <c r="DZ22">
        <f t="shared" si="104"/>
        <v>880</v>
      </c>
      <c r="EA22" s="43">
        <f t="shared" si="105"/>
        <v>132</v>
      </c>
      <c r="EB22" s="43">
        <f t="shared" si="33"/>
        <v>3388</v>
      </c>
      <c r="EC22">
        <v>20</v>
      </c>
      <c r="ED22">
        <f t="shared" si="106"/>
        <v>720</v>
      </c>
      <c r="EE22" s="43">
        <f t="shared" si="107"/>
        <v>108</v>
      </c>
      <c r="EF22" s="43">
        <f t="shared" si="34"/>
        <v>2772</v>
      </c>
      <c r="EG22">
        <v>20</v>
      </c>
      <c r="EH22">
        <f t="shared" si="108"/>
        <v>3566</v>
      </c>
      <c r="EI22" s="43">
        <f t="shared" si="109"/>
        <v>535</v>
      </c>
      <c r="EJ22" s="43">
        <f t="shared" si="35"/>
        <v>13731</v>
      </c>
      <c r="EK22">
        <v>20</v>
      </c>
      <c r="EL22">
        <f t="shared" si="110"/>
        <v>916</v>
      </c>
      <c r="EM22" s="43">
        <f t="shared" si="111"/>
        <v>137</v>
      </c>
      <c r="EN22" s="43">
        <f t="shared" si="36"/>
        <v>3519</v>
      </c>
      <c r="EO22">
        <v>20</v>
      </c>
      <c r="EP22">
        <f t="shared" si="112"/>
        <v>1010</v>
      </c>
      <c r="EQ22" s="43">
        <f t="shared" si="113"/>
        <v>152</v>
      </c>
      <c r="ER22" s="43">
        <f t="shared" si="37"/>
        <v>3898</v>
      </c>
      <c r="ES22">
        <v>20</v>
      </c>
      <c r="ET22">
        <f t="shared" si="114"/>
        <v>645</v>
      </c>
      <c r="EU22" s="43">
        <f t="shared" si="115"/>
        <v>97</v>
      </c>
      <c r="EV22" s="43">
        <f t="shared" si="38"/>
        <v>2488</v>
      </c>
      <c r="EW22">
        <v>20</v>
      </c>
      <c r="EX22">
        <f t="shared" si="116"/>
        <v>3260</v>
      </c>
      <c r="EY22" s="43">
        <f t="shared" si="117"/>
        <v>489</v>
      </c>
      <c r="EZ22" s="43">
        <f t="shared" si="39"/>
        <v>12551</v>
      </c>
      <c r="FA22">
        <v>20</v>
      </c>
      <c r="FB22">
        <f t="shared" si="118"/>
        <v>916</v>
      </c>
      <c r="FC22" s="43">
        <f t="shared" si="119"/>
        <v>137</v>
      </c>
      <c r="FD22" s="43">
        <f t="shared" si="40"/>
        <v>3519</v>
      </c>
    </row>
    <row r="23" spans="1:160">
      <c r="A23">
        <v>21</v>
      </c>
      <c r="B23">
        <f t="shared" si="41"/>
        <v>869</v>
      </c>
      <c r="C23" s="43">
        <f t="shared" si="42"/>
        <v>130</v>
      </c>
      <c r="D23" s="43">
        <f t="shared" si="0"/>
        <v>3469</v>
      </c>
      <c r="E23">
        <v>21</v>
      </c>
      <c r="F23">
        <f t="shared" si="43"/>
        <v>605</v>
      </c>
      <c r="G23" s="43">
        <f t="shared" si="44"/>
        <v>91</v>
      </c>
      <c r="H23" s="43">
        <f t="shared" si="1"/>
        <v>2425</v>
      </c>
      <c r="I23" s="43">
        <v>21</v>
      </c>
      <c r="J23">
        <f t="shared" si="45"/>
        <v>3220</v>
      </c>
      <c r="K23" s="43">
        <f t="shared" si="46"/>
        <v>483</v>
      </c>
      <c r="L23" s="43">
        <f t="shared" si="2"/>
        <v>12880</v>
      </c>
      <c r="M23" s="43">
        <v>21</v>
      </c>
      <c r="N23">
        <f t="shared" si="47"/>
        <v>916</v>
      </c>
      <c r="O23" s="43">
        <f t="shared" si="48"/>
        <v>137</v>
      </c>
      <c r="P23" s="43">
        <f t="shared" si="3"/>
        <v>3656</v>
      </c>
      <c r="Q23">
        <v>21</v>
      </c>
      <c r="R23">
        <f t="shared" si="49"/>
        <v>1125</v>
      </c>
      <c r="S23" s="43">
        <f t="shared" si="50"/>
        <v>169</v>
      </c>
      <c r="T23" s="43">
        <f t="shared" si="4"/>
        <v>4505</v>
      </c>
      <c r="U23">
        <v>21</v>
      </c>
      <c r="V23">
        <f t="shared" si="51"/>
        <v>569</v>
      </c>
      <c r="W23" s="43">
        <f t="shared" si="52"/>
        <v>85</v>
      </c>
      <c r="X23" s="43">
        <f t="shared" si="5"/>
        <v>2269</v>
      </c>
      <c r="Y23">
        <v>21</v>
      </c>
      <c r="Z23">
        <f t="shared" si="53"/>
        <v>3004</v>
      </c>
      <c r="AA23" s="43">
        <f t="shared" si="54"/>
        <v>451</v>
      </c>
      <c r="AB23" s="43">
        <f t="shared" si="6"/>
        <v>12024</v>
      </c>
      <c r="AC23" s="43">
        <v>21</v>
      </c>
      <c r="AD23">
        <f t="shared" si="55"/>
        <v>916</v>
      </c>
      <c r="AE23" s="43">
        <f t="shared" si="56"/>
        <v>137</v>
      </c>
      <c r="AF23" s="43">
        <f t="shared" si="7"/>
        <v>3656</v>
      </c>
      <c r="AG23" s="43">
        <v>21</v>
      </c>
      <c r="AH23">
        <f t="shared" si="57"/>
        <v>1009</v>
      </c>
      <c r="AI23" s="43">
        <f t="shared" si="58"/>
        <v>151</v>
      </c>
      <c r="AJ23" s="43">
        <f t="shared" si="8"/>
        <v>4029</v>
      </c>
      <c r="AK23" s="43">
        <v>21</v>
      </c>
      <c r="AL23">
        <f t="shared" si="59"/>
        <v>569</v>
      </c>
      <c r="AM23" s="43">
        <f t="shared" si="60"/>
        <v>85</v>
      </c>
      <c r="AN23" s="43">
        <f t="shared" si="9"/>
        <v>2269</v>
      </c>
      <c r="AO23" s="43">
        <v>21</v>
      </c>
      <c r="AP23">
        <f t="shared" si="61"/>
        <v>2836</v>
      </c>
      <c r="AQ23" s="43">
        <f t="shared" si="62"/>
        <v>425</v>
      </c>
      <c r="AR23" s="43">
        <f t="shared" si="10"/>
        <v>11336</v>
      </c>
      <c r="AS23" s="43">
        <v>21</v>
      </c>
      <c r="AT23">
        <f t="shared" si="63"/>
        <v>916</v>
      </c>
      <c r="AU23" s="43">
        <f t="shared" si="64"/>
        <v>137</v>
      </c>
      <c r="AV23" s="43">
        <f t="shared" si="11"/>
        <v>3656</v>
      </c>
      <c r="AW23">
        <v>21</v>
      </c>
      <c r="AX23">
        <f t="shared" si="65"/>
        <v>870</v>
      </c>
      <c r="AY23" s="43">
        <f t="shared" si="12"/>
        <v>131</v>
      </c>
      <c r="AZ23" s="43">
        <f t="shared" si="13"/>
        <v>3490</v>
      </c>
      <c r="BA23">
        <v>21</v>
      </c>
      <c r="BB23">
        <f t="shared" si="66"/>
        <v>649</v>
      </c>
      <c r="BC23" s="43">
        <f t="shared" si="67"/>
        <v>97</v>
      </c>
      <c r="BD23" s="43">
        <f t="shared" si="14"/>
        <v>2589</v>
      </c>
      <c r="BE23">
        <v>21</v>
      </c>
      <c r="BF23">
        <f t="shared" si="68"/>
        <v>3269</v>
      </c>
      <c r="BG23" s="43">
        <f t="shared" si="69"/>
        <v>490</v>
      </c>
      <c r="BH23" s="43">
        <f t="shared" si="15"/>
        <v>13069</v>
      </c>
      <c r="BI23" s="43">
        <v>21</v>
      </c>
      <c r="BJ23">
        <f t="shared" si="70"/>
        <v>916</v>
      </c>
      <c r="BK23" s="43">
        <f t="shared" si="71"/>
        <v>137</v>
      </c>
      <c r="BL23" s="43">
        <f t="shared" si="16"/>
        <v>3656</v>
      </c>
      <c r="BM23" s="43">
        <v>21</v>
      </c>
      <c r="BN23">
        <f t="shared" si="72"/>
        <v>640</v>
      </c>
      <c r="BO23" s="43">
        <f t="shared" si="73"/>
        <v>96</v>
      </c>
      <c r="BP23" s="43">
        <f t="shared" si="17"/>
        <v>2560</v>
      </c>
      <c r="BQ23" s="43">
        <v>21</v>
      </c>
      <c r="BR23">
        <f t="shared" si="74"/>
        <v>763</v>
      </c>
      <c r="BS23" s="43">
        <f t="shared" si="75"/>
        <v>114</v>
      </c>
      <c r="BT23" s="43">
        <f t="shared" si="18"/>
        <v>3043</v>
      </c>
      <c r="BU23" s="43">
        <v>21</v>
      </c>
      <c r="BV23">
        <f t="shared" si="76"/>
        <v>3865</v>
      </c>
      <c r="BW23" s="43">
        <f t="shared" si="77"/>
        <v>580</v>
      </c>
      <c r="BX23" s="43">
        <f t="shared" si="19"/>
        <v>15465</v>
      </c>
      <c r="BY23" s="43">
        <v>21</v>
      </c>
      <c r="BZ23">
        <f t="shared" si="78"/>
        <v>916</v>
      </c>
      <c r="CA23" s="43">
        <f t="shared" si="79"/>
        <v>137</v>
      </c>
      <c r="CB23" s="43">
        <f t="shared" si="20"/>
        <v>3656</v>
      </c>
      <c r="CC23">
        <v>21</v>
      </c>
      <c r="CD23">
        <f t="shared" si="80"/>
        <v>880</v>
      </c>
      <c r="CE23" s="43">
        <f t="shared" si="81"/>
        <v>132</v>
      </c>
      <c r="CF23" s="43">
        <f t="shared" si="21"/>
        <v>3520</v>
      </c>
      <c r="CG23">
        <v>21</v>
      </c>
      <c r="CH23">
        <f t="shared" si="82"/>
        <v>645</v>
      </c>
      <c r="CI23" s="43">
        <f t="shared" si="83"/>
        <v>97</v>
      </c>
      <c r="CJ23" s="43">
        <f t="shared" si="22"/>
        <v>2585</v>
      </c>
      <c r="CK23">
        <v>21</v>
      </c>
      <c r="CL23">
        <f t="shared" si="84"/>
        <v>3260</v>
      </c>
      <c r="CM23" s="43">
        <f t="shared" si="85"/>
        <v>489</v>
      </c>
      <c r="CN23" s="43">
        <f t="shared" si="23"/>
        <v>13040</v>
      </c>
      <c r="CO23" s="43">
        <v>21</v>
      </c>
      <c r="CP23">
        <f t="shared" si="86"/>
        <v>916</v>
      </c>
      <c r="CQ23" s="43">
        <f t="shared" si="87"/>
        <v>137</v>
      </c>
      <c r="CR23" s="43">
        <f t="shared" si="24"/>
        <v>3656</v>
      </c>
      <c r="CS23" s="43">
        <v>21</v>
      </c>
      <c r="CT23">
        <f t="shared" si="88"/>
        <v>817</v>
      </c>
      <c r="CU23" s="43">
        <f t="shared" si="89"/>
        <v>123</v>
      </c>
      <c r="CV23" s="43">
        <f t="shared" si="25"/>
        <v>3277</v>
      </c>
      <c r="CW23" s="43">
        <v>21</v>
      </c>
      <c r="CX23">
        <f t="shared" si="90"/>
        <v>645</v>
      </c>
      <c r="CY23" s="43">
        <f t="shared" si="91"/>
        <v>97</v>
      </c>
      <c r="CZ23" s="43">
        <f t="shared" si="26"/>
        <v>2585</v>
      </c>
      <c r="DA23" s="43">
        <v>21</v>
      </c>
      <c r="DB23">
        <f t="shared" si="92"/>
        <v>3120</v>
      </c>
      <c r="DC23" s="43">
        <f t="shared" si="93"/>
        <v>468</v>
      </c>
      <c r="DD23" s="43">
        <f t="shared" si="27"/>
        <v>12480</v>
      </c>
      <c r="DE23" s="43">
        <v>21</v>
      </c>
      <c r="DF23">
        <f t="shared" si="94"/>
        <v>916</v>
      </c>
      <c r="DG23" s="43">
        <f t="shared" si="95"/>
        <v>137</v>
      </c>
      <c r="DH23" s="43">
        <f t="shared" si="28"/>
        <v>3656</v>
      </c>
      <c r="DI23" s="43">
        <v>21</v>
      </c>
      <c r="DJ23">
        <f t="shared" si="96"/>
        <v>760</v>
      </c>
      <c r="DK23" s="43">
        <f t="shared" si="97"/>
        <v>114</v>
      </c>
      <c r="DL23" s="43">
        <f t="shared" si="29"/>
        <v>3040</v>
      </c>
      <c r="DM23" s="43">
        <v>21</v>
      </c>
      <c r="DN23">
        <f t="shared" si="98"/>
        <v>690</v>
      </c>
      <c r="DO23" s="43">
        <f t="shared" si="99"/>
        <v>104</v>
      </c>
      <c r="DP23" s="43">
        <f t="shared" si="30"/>
        <v>2770</v>
      </c>
      <c r="DQ23" s="43">
        <v>21</v>
      </c>
      <c r="DR23">
        <f t="shared" si="100"/>
        <v>3930</v>
      </c>
      <c r="DS23" s="43">
        <f t="shared" si="101"/>
        <v>590</v>
      </c>
      <c r="DT23" s="43">
        <f t="shared" si="31"/>
        <v>15730</v>
      </c>
      <c r="DU23" s="43">
        <v>21</v>
      </c>
      <c r="DV23">
        <f t="shared" si="102"/>
        <v>916</v>
      </c>
      <c r="DW23" s="43">
        <f t="shared" si="103"/>
        <v>137</v>
      </c>
      <c r="DX23" s="43">
        <f t="shared" si="32"/>
        <v>3656</v>
      </c>
      <c r="DY23">
        <v>21</v>
      </c>
      <c r="DZ23">
        <f t="shared" si="104"/>
        <v>880</v>
      </c>
      <c r="EA23" s="43">
        <f t="shared" si="105"/>
        <v>132</v>
      </c>
      <c r="EB23" s="43">
        <f t="shared" si="33"/>
        <v>3520</v>
      </c>
      <c r="EC23">
        <v>21</v>
      </c>
      <c r="ED23">
        <f t="shared" si="106"/>
        <v>720</v>
      </c>
      <c r="EE23" s="43">
        <f t="shared" si="107"/>
        <v>108</v>
      </c>
      <c r="EF23" s="43">
        <f t="shared" si="34"/>
        <v>2880</v>
      </c>
      <c r="EG23">
        <v>21</v>
      </c>
      <c r="EH23">
        <f t="shared" si="108"/>
        <v>3566</v>
      </c>
      <c r="EI23" s="43">
        <f t="shared" si="109"/>
        <v>535</v>
      </c>
      <c r="EJ23" s="43">
        <f t="shared" si="35"/>
        <v>14266</v>
      </c>
      <c r="EK23" s="43">
        <v>21</v>
      </c>
      <c r="EL23">
        <f t="shared" si="110"/>
        <v>916</v>
      </c>
      <c r="EM23" s="43">
        <f t="shared" si="111"/>
        <v>137</v>
      </c>
      <c r="EN23" s="43">
        <f t="shared" si="36"/>
        <v>3656</v>
      </c>
      <c r="EO23" s="43">
        <v>21</v>
      </c>
      <c r="EP23">
        <f t="shared" si="112"/>
        <v>1010</v>
      </c>
      <c r="EQ23" s="43">
        <f t="shared" si="113"/>
        <v>152</v>
      </c>
      <c r="ER23" s="43">
        <f t="shared" si="37"/>
        <v>4050</v>
      </c>
      <c r="ES23" s="43">
        <v>21</v>
      </c>
      <c r="ET23">
        <f t="shared" si="114"/>
        <v>645</v>
      </c>
      <c r="EU23" s="43">
        <f t="shared" si="115"/>
        <v>97</v>
      </c>
      <c r="EV23" s="43">
        <f t="shared" si="38"/>
        <v>2585</v>
      </c>
      <c r="EW23" s="43">
        <v>21</v>
      </c>
      <c r="EX23">
        <f t="shared" si="116"/>
        <v>3260</v>
      </c>
      <c r="EY23" s="43">
        <f t="shared" si="117"/>
        <v>489</v>
      </c>
      <c r="EZ23" s="43">
        <f t="shared" si="39"/>
        <v>13040</v>
      </c>
      <c r="FA23" s="43">
        <v>21</v>
      </c>
      <c r="FB23">
        <f t="shared" si="118"/>
        <v>916</v>
      </c>
      <c r="FC23" s="43">
        <f t="shared" si="119"/>
        <v>137</v>
      </c>
      <c r="FD23" s="43">
        <f t="shared" si="40"/>
        <v>3656</v>
      </c>
    </row>
    <row r="24" spans="1:160">
      <c r="A24">
        <v>22</v>
      </c>
      <c r="B24">
        <f t="shared" si="41"/>
        <v>869</v>
      </c>
      <c r="C24" s="43">
        <f t="shared" si="42"/>
        <v>130</v>
      </c>
      <c r="D24" s="43">
        <f t="shared" si="0"/>
        <v>3599</v>
      </c>
      <c r="E24">
        <v>22</v>
      </c>
      <c r="F24">
        <f t="shared" si="43"/>
        <v>605</v>
      </c>
      <c r="G24" s="43">
        <f t="shared" si="44"/>
        <v>91</v>
      </c>
      <c r="H24" s="43">
        <f t="shared" si="1"/>
        <v>2516</v>
      </c>
      <c r="I24">
        <v>22</v>
      </c>
      <c r="J24">
        <f t="shared" si="45"/>
        <v>3220</v>
      </c>
      <c r="K24" s="43">
        <f t="shared" si="46"/>
        <v>483</v>
      </c>
      <c r="L24" s="43">
        <f t="shared" si="2"/>
        <v>13363</v>
      </c>
      <c r="M24">
        <v>22</v>
      </c>
      <c r="N24">
        <f t="shared" si="47"/>
        <v>916</v>
      </c>
      <c r="O24" s="43">
        <f t="shared" si="48"/>
        <v>137</v>
      </c>
      <c r="P24" s="43">
        <f t="shared" si="3"/>
        <v>3793</v>
      </c>
      <c r="Q24">
        <v>22</v>
      </c>
      <c r="R24">
        <f t="shared" si="49"/>
        <v>1125</v>
      </c>
      <c r="S24" s="43">
        <f t="shared" si="50"/>
        <v>169</v>
      </c>
      <c r="T24" s="43">
        <f t="shared" si="4"/>
        <v>4674</v>
      </c>
      <c r="U24">
        <v>22</v>
      </c>
      <c r="V24">
        <f t="shared" si="51"/>
        <v>569</v>
      </c>
      <c r="W24" s="43">
        <f t="shared" si="52"/>
        <v>85</v>
      </c>
      <c r="X24" s="43">
        <f t="shared" si="5"/>
        <v>2354</v>
      </c>
      <c r="Y24">
        <v>22</v>
      </c>
      <c r="Z24">
        <f t="shared" si="53"/>
        <v>3004</v>
      </c>
      <c r="AA24" s="43">
        <f t="shared" si="54"/>
        <v>451</v>
      </c>
      <c r="AB24" s="43">
        <f t="shared" si="6"/>
        <v>12475</v>
      </c>
      <c r="AC24">
        <v>22</v>
      </c>
      <c r="AD24">
        <f t="shared" si="55"/>
        <v>916</v>
      </c>
      <c r="AE24" s="43">
        <f t="shared" si="56"/>
        <v>137</v>
      </c>
      <c r="AF24" s="43">
        <f t="shared" si="7"/>
        <v>3793</v>
      </c>
      <c r="AG24">
        <v>22</v>
      </c>
      <c r="AH24">
        <f t="shared" si="57"/>
        <v>1009</v>
      </c>
      <c r="AI24" s="43">
        <f t="shared" si="58"/>
        <v>151</v>
      </c>
      <c r="AJ24" s="43">
        <f t="shared" si="8"/>
        <v>4180</v>
      </c>
      <c r="AK24">
        <v>22</v>
      </c>
      <c r="AL24">
        <f t="shared" si="59"/>
        <v>569</v>
      </c>
      <c r="AM24" s="43">
        <f t="shared" si="60"/>
        <v>85</v>
      </c>
      <c r="AN24" s="43">
        <f t="shared" si="9"/>
        <v>2354</v>
      </c>
      <c r="AO24">
        <v>22</v>
      </c>
      <c r="AP24">
        <f t="shared" si="61"/>
        <v>2836</v>
      </c>
      <c r="AQ24" s="43">
        <f t="shared" si="62"/>
        <v>425</v>
      </c>
      <c r="AR24" s="43">
        <f t="shared" si="10"/>
        <v>11761</v>
      </c>
      <c r="AS24">
        <v>22</v>
      </c>
      <c r="AT24">
        <f t="shared" si="63"/>
        <v>916</v>
      </c>
      <c r="AU24" s="43">
        <f t="shared" si="64"/>
        <v>137</v>
      </c>
      <c r="AV24" s="43">
        <f t="shared" si="11"/>
        <v>3793</v>
      </c>
      <c r="AW24">
        <v>22</v>
      </c>
      <c r="AX24">
        <f t="shared" si="65"/>
        <v>870</v>
      </c>
      <c r="AY24" s="43">
        <f t="shared" si="12"/>
        <v>131</v>
      </c>
      <c r="AZ24" s="43">
        <f t="shared" si="13"/>
        <v>3621</v>
      </c>
      <c r="BA24">
        <v>22</v>
      </c>
      <c r="BB24">
        <f t="shared" si="66"/>
        <v>649</v>
      </c>
      <c r="BC24" s="43">
        <f t="shared" si="67"/>
        <v>97</v>
      </c>
      <c r="BD24" s="43">
        <f t="shared" si="14"/>
        <v>2686</v>
      </c>
      <c r="BE24">
        <v>22</v>
      </c>
      <c r="BF24">
        <f t="shared" si="68"/>
        <v>3269</v>
      </c>
      <c r="BG24" s="43">
        <f t="shared" si="69"/>
        <v>490</v>
      </c>
      <c r="BH24" s="43">
        <f t="shared" si="15"/>
        <v>13559</v>
      </c>
      <c r="BI24">
        <v>22</v>
      </c>
      <c r="BJ24">
        <f t="shared" si="70"/>
        <v>916</v>
      </c>
      <c r="BK24" s="43">
        <f t="shared" si="71"/>
        <v>137</v>
      </c>
      <c r="BL24" s="43">
        <f t="shared" si="16"/>
        <v>3793</v>
      </c>
      <c r="BM24">
        <v>22</v>
      </c>
      <c r="BN24">
        <f t="shared" si="72"/>
        <v>640</v>
      </c>
      <c r="BO24" s="43">
        <f t="shared" si="73"/>
        <v>96</v>
      </c>
      <c r="BP24" s="43">
        <f t="shared" si="17"/>
        <v>2656</v>
      </c>
      <c r="BQ24">
        <v>22</v>
      </c>
      <c r="BR24">
        <f t="shared" si="74"/>
        <v>763</v>
      </c>
      <c r="BS24" s="43">
        <f t="shared" si="75"/>
        <v>114</v>
      </c>
      <c r="BT24" s="43">
        <f t="shared" si="18"/>
        <v>3157</v>
      </c>
      <c r="BU24">
        <v>22</v>
      </c>
      <c r="BV24">
        <f t="shared" si="76"/>
        <v>3865</v>
      </c>
      <c r="BW24" s="43">
        <f t="shared" si="77"/>
        <v>580</v>
      </c>
      <c r="BX24" s="43">
        <f t="shared" si="19"/>
        <v>16045</v>
      </c>
      <c r="BY24">
        <v>22</v>
      </c>
      <c r="BZ24">
        <f t="shared" si="78"/>
        <v>916</v>
      </c>
      <c r="CA24" s="43">
        <f t="shared" si="79"/>
        <v>137</v>
      </c>
      <c r="CB24" s="43">
        <f t="shared" si="20"/>
        <v>3793</v>
      </c>
      <c r="CC24">
        <v>22</v>
      </c>
      <c r="CD24">
        <f t="shared" si="80"/>
        <v>880</v>
      </c>
      <c r="CE24" s="43">
        <f t="shared" si="81"/>
        <v>132</v>
      </c>
      <c r="CF24" s="43">
        <f t="shared" si="21"/>
        <v>3652</v>
      </c>
      <c r="CG24">
        <v>22</v>
      </c>
      <c r="CH24">
        <f t="shared" si="82"/>
        <v>645</v>
      </c>
      <c r="CI24" s="43">
        <f t="shared" si="83"/>
        <v>97</v>
      </c>
      <c r="CJ24" s="43">
        <f t="shared" si="22"/>
        <v>2682</v>
      </c>
      <c r="CK24">
        <v>22</v>
      </c>
      <c r="CL24">
        <f t="shared" si="84"/>
        <v>3260</v>
      </c>
      <c r="CM24" s="43">
        <f t="shared" si="85"/>
        <v>489</v>
      </c>
      <c r="CN24" s="43">
        <f t="shared" si="23"/>
        <v>13529</v>
      </c>
      <c r="CO24">
        <v>22</v>
      </c>
      <c r="CP24">
        <f t="shared" si="86"/>
        <v>916</v>
      </c>
      <c r="CQ24" s="43">
        <f t="shared" si="87"/>
        <v>137</v>
      </c>
      <c r="CR24" s="43">
        <f t="shared" si="24"/>
        <v>3793</v>
      </c>
      <c r="CS24">
        <v>22</v>
      </c>
      <c r="CT24">
        <f t="shared" si="88"/>
        <v>817</v>
      </c>
      <c r="CU24" s="43">
        <f t="shared" si="89"/>
        <v>123</v>
      </c>
      <c r="CV24" s="43">
        <f t="shared" si="25"/>
        <v>3400</v>
      </c>
      <c r="CW24">
        <v>22</v>
      </c>
      <c r="CX24">
        <f t="shared" si="90"/>
        <v>645</v>
      </c>
      <c r="CY24" s="43">
        <f t="shared" si="91"/>
        <v>97</v>
      </c>
      <c r="CZ24" s="43">
        <f t="shared" si="26"/>
        <v>2682</v>
      </c>
      <c r="DA24">
        <v>22</v>
      </c>
      <c r="DB24">
        <f t="shared" si="92"/>
        <v>3120</v>
      </c>
      <c r="DC24" s="43">
        <f t="shared" si="93"/>
        <v>468</v>
      </c>
      <c r="DD24" s="43">
        <f t="shared" si="27"/>
        <v>12948</v>
      </c>
      <c r="DE24">
        <v>22</v>
      </c>
      <c r="DF24">
        <f t="shared" si="94"/>
        <v>916</v>
      </c>
      <c r="DG24" s="43">
        <f t="shared" si="95"/>
        <v>137</v>
      </c>
      <c r="DH24" s="43">
        <f t="shared" si="28"/>
        <v>3793</v>
      </c>
      <c r="DI24">
        <v>22</v>
      </c>
      <c r="DJ24">
        <f t="shared" si="96"/>
        <v>760</v>
      </c>
      <c r="DK24" s="43">
        <f t="shared" si="97"/>
        <v>114</v>
      </c>
      <c r="DL24" s="43">
        <f t="shared" si="29"/>
        <v>3154</v>
      </c>
      <c r="DM24">
        <v>22</v>
      </c>
      <c r="DN24">
        <f t="shared" si="98"/>
        <v>690</v>
      </c>
      <c r="DO24" s="43">
        <f t="shared" si="99"/>
        <v>104</v>
      </c>
      <c r="DP24" s="43">
        <f t="shared" si="30"/>
        <v>2874</v>
      </c>
      <c r="DQ24">
        <v>22</v>
      </c>
      <c r="DR24">
        <f t="shared" si="100"/>
        <v>3930</v>
      </c>
      <c r="DS24" s="43">
        <f t="shared" si="101"/>
        <v>590</v>
      </c>
      <c r="DT24" s="43">
        <f t="shared" si="31"/>
        <v>16320</v>
      </c>
      <c r="DU24">
        <v>22</v>
      </c>
      <c r="DV24">
        <f t="shared" si="102"/>
        <v>916</v>
      </c>
      <c r="DW24" s="43">
        <f t="shared" si="103"/>
        <v>137</v>
      </c>
      <c r="DX24" s="43">
        <f t="shared" si="32"/>
        <v>3793</v>
      </c>
      <c r="DY24">
        <v>22</v>
      </c>
      <c r="DZ24">
        <f t="shared" si="104"/>
        <v>880</v>
      </c>
      <c r="EA24" s="43">
        <f t="shared" si="105"/>
        <v>132</v>
      </c>
      <c r="EB24" s="43">
        <f t="shared" si="33"/>
        <v>3652</v>
      </c>
      <c r="EC24">
        <v>22</v>
      </c>
      <c r="ED24">
        <f t="shared" si="106"/>
        <v>720</v>
      </c>
      <c r="EE24" s="43">
        <f t="shared" si="107"/>
        <v>108</v>
      </c>
      <c r="EF24" s="43">
        <f t="shared" si="34"/>
        <v>2988</v>
      </c>
      <c r="EG24">
        <v>22</v>
      </c>
      <c r="EH24">
        <f t="shared" si="108"/>
        <v>3566</v>
      </c>
      <c r="EI24" s="43">
        <f t="shared" si="109"/>
        <v>535</v>
      </c>
      <c r="EJ24" s="43">
        <f t="shared" si="35"/>
        <v>14801</v>
      </c>
      <c r="EK24">
        <v>22</v>
      </c>
      <c r="EL24">
        <f t="shared" si="110"/>
        <v>916</v>
      </c>
      <c r="EM24" s="43">
        <f t="shared" si="111"/>
        <v>137</v>
      </c>
      <c r="EN24" s="43">
        <f t="shared" si="36"/>
        <v>3793</v>
      </c>
      <c r="EO24">
        <v>22</v>
      </c>
      <c r="EP24">
        <f t="shared" si="112"/>
        <v>1010</v>
      </c>
      <c r="EQ24" s="43">
        <f t="shared" si="113"/>
        <v>152</v>
      </c>
      <c r="ER24" s="43">
        <f t="shared" si="37"/>
        <v>4202</v>
      </c>
      <c r="ES24">
        <v>22</v>
      </c>
      <c r="ET24">
        <f t="shared" si="114"/>
        <v>645</v>
      </c>
      <c r="EU24" s="43">
        <f t="shared" si="115"/>
        <v>97</v>
      </c>
      <c r="EV24" s="43">
        <f t="shared" si="38"/>
        <v>2682</v>
      </c>
      <c r="EW24">
        <v>22</v>
      </c>
      <c r="EX24">
        <f t="shared" si="116"/>
        <v>3260</v>
      </c>
      <c r="EY24" s="43">
        <f t="shared" si="117"/>
        <v>489</v>
      </c>
      <c r="EZ24" s="43">
        <f t="shared" si="39"/>
        <v>13529</v>
      </c>
      <c r="FA24">
        <v>22</v>
      </c>
      <c r="FB24">
        <f t="shared" si="118"/>
        <v>916</v>
      </c>
      <c r="FC24" s="43">
        <f t="shared" si="119"/>
        <v>137</v>
      </c>
      <c r="FD24" s="43">
        <f t="shared" si="40"/>
        <v>3793</v>
      </c>
    </row>
    <row r="25" spans="1:160">
      <c r="A25">
        <v>23</v>
      </c>
      <c r="B25">
        <f t="shared" si="41"/>
        <v>869</v>
      </c>
      <c r="C25" s="43">
        <f t="shared" si="42"/>
        <v>130</v>
      </c>
      <c r="D25" s="43">
        <f t="shared" si="0"/>
        <v>3729</v>
      </c>
      <c r="E25">
        <v>23</v>
      </c>
      <c r="F25">
        <f t="shared" si="43"/>
        <v>605</v>
      </c>
      <c r="G25" s="43">
        <f t="shared" si="44"/>
        <v>91</v>
      </c>
      <c r="H25" s="43">
        <f t="shared" si="1"/>
        <v>2607</v>
      </c>
      <c r="I25" s="43">
        <v>23</v>
      </c>
      <c r="J25">
        <f t="shared" si="45"/>
        <v>3220</v>
      </c>
      <c r="K25" s="43">
        <f t="shared" si="46"/>
        <v>483</v>
      </c>
      <c r="L25" s="43">
        <f t="shared" si="2"/>
        <v>13846</v>
      </c>
      <c r="M25" s="43">
        <v>23</v>
      </c>
      <c r="N25">
        <f t="shared" si="47"/>
        <v>916</v>
      </c>
      <c r="O25" s="43">
        <f t="shared" si="48"/>
        <v>137</v>
      </c>
      <c r="P25" s="43">
        <f t="shared" si="3"/>
        <v>3930</v>
      </c>
      <c r="Q25">
        <v>23</v>
      </c>
      <c r="R25">
        <f t="shared" si="49"/>
        <v>1125</v>
      </c>
      <c r="S25" s="43">
        <f t="shared" si="50"/>
        <v>169</v>
      </c>
      <c r="T25" s="43">
        <f t="shared" si="4"/>
        <v>4843</v>
      </c>
      <c r="U25">
        <v>23</v>
      </c>
      <c r="V25">
        <f t="shared" si="51"/>
        <v>569</v>
      </c>
      <c r="W25" s="43">
        <f t="shared" si="52"/>
        <v>85</v>
      </c>
      <c r="X25" s="43">
        <f t="shared" si="5"/>
        <v>2439</v>
      </c>
      <c r="Y25">
        <v>23</v>
      </c>
      <c r="Z25">
        <f t="shared" si="53"/>
        <v>3004</v>
      </c>
      <c r="AA25" s="43">
        <f t="shared" si="54"/>
        <v>451</v>
      </c>
      <c r="AB25" s="43">
        <f t="shared" si="6"/>
        <v>12926</v>
      </c>
      <c r="AC25" s="43">
        <v>23</v>
      </c>
      <c r="AD25">
        <f t="shared" si="55"/>
        <v>916</v>
      </c>
      <c r="AE25" s="43">
        <f t="shared" si="56"/>
        <v>137</v>
      </c>
      <c r="AF25" s="43">
        <f t="shared" si="7"/>
        <v>3930</v>
      </c>
      <c r="AG25" s="43">
        <v>23</v>
      </c>
      <c r="AH25">
        <f t="shared" si="57"/>
        <v>1009</v>
      </c>
      <c r="AI25" s="43">
        <f t="shared" si="58"/>
        <v>151</v>
      </c>
      <c r="AJ25" s="43">
        <f t="shared" si="8"/>
        <v>4331</v>
      </c>
      <c r="AK25" s="43">
        <v>23</v>
      </c>
      <c r="AL25">
        <f t="shared" si="59"/>
        <v>569</v>
      </c>
      <c r="AM25" s="43">
        <f t="shared" si="60"/>
        <v>85</v>
      </c>
      <c r="AN25" s="43">
        <f t="shared" si="9"/>
        <v>2439</v>
      </c>
      <c r="AO25" s="43">
        <v>23</v>
      </c>
      <c r="AP25">
        <f t="shared" si="61"/>
        <v>2836</v>
      </c>
      <c r="AQ25" s="43">
        <f t="shared" si="62"/>
        <v>425</v>
      </c>
      <c r="AR25" s="43">
        <f t="shared" si="10"/>
        <v>12186</v>
      </c>
      <c r="AS25" s="43">
        <v>23</v>
      </c>
      <c r="AT25">
        <f t="shared" si="63"/>
        <v>916</v>
      </c>
      <c r="AU25" s="43">
        <f t="shared" si="64"/>
        <v>137</v>
      </c>
      <c r="AV25" s="43">
        <f t="shared" si="11"/>
        <v>3930</v>
      </c>
      <c r="AW25">
        <v>23</v>
      </c>
      <c r="AX25">
        <f t="shared" si="65"/>
        <v>870</v>
      </c>
      <c r="AY25" s="43">
        <f t="shared" si="12"/>
        <v>131</v>
      </c>
      <c r="AZ25" s="43">
        <f t="shared" si="13"/>
        <v>3752</v>
      </c>
      <c r="BA25">
        <v>23</v>
      </c>
      <c r="BB25">
        <f t="shared" si="66"/>
        <v>649</v>
      </c>
      <c r="BC25" s="43">
        <f t="shared" si="67"/>
        <v>97</v>
      </c>
      <c r="BD25" s="43">
        <f t="shared" si="14"/>
        <v>2783</v>
      </c>
      <c r="BE25">
        <v>23</v>
      </c>
      <c r="BF25">
        <f t="shared" si="68"/>
        <v>3269</v>
      </c>
      <c r="BG25" s="43">
        <f t="shared" si="69"/>
        <v>490</v>
      </c>
      <c r="BH25" s="43">
        <f t="shared" si="15"/>
        <v>14049</v>
      </c>
      <c r="BI25" s="43">
        <v>23</v>
      </c>
      <c r="BJ25">
        <f t="shared" si="70"/>
        <v>916</v>
      </c>
      <c r="BK25" s="43">
        <f t="shared" si="71"/>
        <v>137</v>
      </c>
      <c r="BL25" s="43">
        <f t="shared" si="16"/>
        <v>3930</v>
      </c>
      <c r="BM25" s="43">
        <v>23</v>
      </c>
      <c r="BN25">
        <f t="shared" si="72"/>
        <v>640</v>
      </c>
      <c r="BO25" s="43">
        <f t="shared" si="73"/>
        <v>96</v>
      </c>
      <c r="BP25" s="43">
        <f t="shared" si="17"/>
        <v>2752</v>
      </c>
      <c r="BQ25" s="43">
        <v>23</v>
      </c>
      <c r="BR25">
        <f t="shared" si="74"/>
        <v>763</v>
      </c>
      <c r="BS25" s="43">
        <f t="shared" si="75"/>
        <v>114</v>
      </c>
      <c r="BT25" s="43">
        <f t="shared" si="18"/>
        <v>3271</v>
      </c>
      <c r="BU25" s="43">
        <v>23</v>
      </c>
      <c r="BV25">
        <f t="shared" si="76"/>
        <v>3865</v>
      </c>
      <c r="BW25" s="43">
        <f t="shared" si="77"/>
        <v>580</v>
      </c>
      <c r="BX25" s="43">
        <f t="shared" si="19"/>
        <v>16625</v>
      </c>
      <c r="BY25" s="43">
        <v>23</v>
      </c>
      <c r="BZ25">
        <f t="shared" si="78"/>
        <v>916</v>
      </c>
      <c r="CA25" s="43">
        <f t="shared" si="79"/>
        <v>137</v>
      </c>
      <c r="CB25" s="43">
        <f t="shared" si="20"/>
        <v>3930</v>
      </c>
      <c r="CC25">
        <v>23</v>
      </c>
      <c r="CD25">
        <f t="shared" si="80"/>
        <v>880</v>
      </c>
      <c r="CE25" s="43">
        <f t="shared" si="81"/>
        <v>132</v>
      </c>
      <c r="CF25" s="43">
        <f t="shared" si="21"/>
        <v>3784</v>
      </c>
      <c r="CG25">
        <v>23</v>
      </c>
      <c r="CH25">
        <f t="shared" si="82"/>
        <v>645</v>
      </c>
      <c r="CI25" s="43">
        <f t="shared" si="83"/>
        <v>97</v>
      </c>
      <c r="CJ25" s="43">
        <f t="shared" si="22"/>
        <v>2779</v>
      </c>
      <c r="CK25">
        <v>23</v>
      </c>
      <c r="CL25">
        <f t="shared" si="84"/>
        <v>3260</v>
      </c>
      <c r="CM25" s="43">
        <f t="shared" si="85"/>
        <v>489</v>
      </c>
      <c r="CN25" s="43">
        <f t="shared" si="23"/>
        <v>14018</v>
      </c>
      <c r="CO25" s="43">
        <v>23</v>
      </c>
      <c r="CP25">
        <f t="shared" si="86"/>
        <v>916</v>
      </c>
      <c r="CQ25" s="43">
        <f t="shared" si="87"/>
        <v>137</v>
      </c>
      <c r="CR25" s="43">
        <f t="shared" si="24"/>
        <v>3930</v>
      </c>
      <c r="CS25" s="43">
        <v>23</v>
      </c>
      <c r="CT25">
        <f t="shared" si="88"/>
        <v>817</v>
      </c>
      <c r="CU25" s="43">
        <f t="shared" si="89"/>
        <v>123</v>
      </c>
      <c r="CV25" s="43">
        <f t="shared" si="25"/>
        <v>3523</v>
      </c>
      <c r="CW25" s="43">
        <v>23</v>
      </c>
      <c r="CX25">
        <f t="shared" si="90"/>
        <v>645</v>
      </c>
      <c r="CY25" s="43">
        <f t="shared" si="91"/>
        <v>97</v>
      </c>
      <c r="CZ25" s="43">
        <f t="shared" si="26"/>
        <v>2779</v>
      </c>
      <c r="DA25" s="43">
        <v>23</v>
      </c>
      <c r="DB25">
        <f t="shared" si="92"/>
        <v>3120</v>
      </c>
      <c r="DC25" s="43">
        <f t="shared" si="93"/>
        <v>468</v>
      </c>
      <c r="DD25" s="43">
        <f t="shared" si="27"/>
        <v>13416</v>
      </c>
      <c r="DE25" s="43">
        <v>23</v>
      </c>
      <c r="DF25">
        <f t="shared" si="94"/>
        <v>916</v>
      </c>
      <c r="DG25" s="43">
        <f t="shared" si="95"/>
        <v>137</v>
      </c>
      <c r="DH25" s="43">
        <f t="shared" si="28"/>
        <v>3930</v>
      </c>
      <c r="DI25" s="43">
        <v>23</v>
      </c>
      <c r="DJ25">
        <f t="shared" si="96"/>
        <v>760</v>
      </c>
      <c r="DK25" s="43">
        <f t="shared" si="97"/>
        <v>114</v>
      </c>
      <c r="DL25" s="43">
        <f t="shared" si="29"/>
        <v>3268</v>
      </c>
      <c r="DM25" s="43">
        <v>23</v>
      </c>
      <c r="DN25">
        <f t="shared" si="98"/>
        <v>690</v>
      </c>
      <c r="DO25" s="43">
        <f t="shared" si="99"/>
        <v>104</v>
      </c>
      <c r="DP25" s="43">
        <f t="shared" si="30"/>
        <v>2978</v>
      </c>
      <c r="DQ25" s="43">
        <v>23</v>
      </c>
      <c r="DR25">
        <f t="shared" si="100"/>
        <v>3930</v>
      </c>
      <c r="DS25" s="43">
        <f t="shared" si="101"/>
        <v>590</v>
      </c>
      <c r="DT25" s="43">
        <f t="shared" si="31"/>
        <v>16910</v>
      </c>
      <c r="DU25" s="43">
        <v>23</v>
      </c>
      <c r="DV25">
        <f t="shared" si="102"/>
        <v>916</v>
      </c>
      <c r="DW25" s="43">
        <f t="shared" si="103"/>
        <v>137</v>
      </c>
      <c r="DX25" s="43">
        <f t="shared" si="32"/>
        <v>3930</v>
      </c>
      <c r="DY25">
        <v>23</v>
      </c>
      <c r="DZ25">
        <f t="shared" si="104"/>
        <v>880</v>
      </c>
      <c r="EA25" s="43">
        <f t="shared" si="105"/>
        <v>132</v>
      </c>
      <c r="EB25" s="43">
        <f t="shared" si="33"/>
        <v>3784</v>
      </c>
      <c r="EC25">
        <v>23</v>
      </c>
      <c r="ED25">
        <f t="shared" si="106"/>
        <v>720</v>
      </c>
      <c r="EE25" s="43">
        <f t="shared" si="107"/>
        <v>108</v>
      </c>
      <c r="EF25" s="43">
        <f t="shared" si="34"/>
        <v>3096</v>
      </c>
      <c r="EG25">
        <v>23</v>
      </c>
      <c r="EH25">
        <f t="shared" si="108"/>
        <v>3566</v>
      </c>
      <c r="EI25" s="43">
        <f t="shared" si="109"/>
        <v>535</v>
      </c>
      <c r="EJ25" s="43">
        <f t="shared" si="35"/>
        <v>15336</v>
      </c>
      <c r="EK25" s="43">
        <v>23</v>
      </c>
      <c r="EL25">
        <f t="shared" si="110"/>
        <v>916</v>
      </c>
      <c r="EM25" s="43">
        <f t="shared" si="111"/>
        <v>137</v>
      </c>
      <c r="EN25" s="43">
        <f t="shared" si="36"/>
        <v>3930</v>
      </c>
      <c r="EO25" s="43">
        <v>23</v>
      </c>
      <c r="EP25">
        <f t="shared" si="112"/>
        <v>1010</v>
      </c>
      <c r="EQ25" s="43">
        <f t="shared" si="113"/>
        <v>152</v>
      </c>
      <c r="ER25" s="43">
        <f t="shared" si="37"/>
        <v>4354</v>
      </c>
      <c r="ES25" s="43">
        <v>23</v>
      </c>
      <c r="ET25">
        <f t="shared" si="114"/>
        <v>645</v>
      </c>
      <c r="EU25" s="43">
        <f t="shared" si="115"/>
        <v>97</v>
      </c>
      <c r="EV25" s="43">
        <f t="shared" si="38"/>
        <v>2779</v>
      </c>
      <c r="EW25" s="43">
        <v>23</v>
      </c>
      <c r="EX25">
        <f t="shared" si="116"/>
        <v>3260</v>
      </c>
      <c r="EY25" s="43">
        <f t="shared" si="117"/>
        <v>489</v>
      </c>
      <c r="EZ25" s="43">
        <f t="shared" si="39"/>
        <v>14018</v>
      </c>
      <c r="FA25" s="43">
        <v>23</v>
      </c>
      <c r="FB25">
        <f t="shared" si="118"/>
        <v>916</v>
      </c>
      <c r="FC25" s="43">
        <f t="shared" si="119"/>
        <v>137</v>
      </c>
      <c r="FD25" s="43">
        <f t="shared" si="40"/>
        <v>3930</v>
      </c>
    </row>
    <row r="26" spans="1:160">
      <c r="A26">
        <v>24</v>
      </c>
      <c r="B26">
        <f t="shared" si="41"/>
        <v>869</v>
      </c>
      <c r="C26" s="43">
        <f t="shared" si="42"/>
        <v>130</v>
      </c>
      <c r="D26" s="43">
        <f t="shared" si="0"/>
        <v>3859</v>
      </c>
      <c r="E26">
        <v>24</v>
      </c>
      <c r="F26">
        <f t="shared" si="43"/>
        <v>605</v>
      </c>
      <c r="G26" s="43">
        <f t="shared" si="44"/>
        <v>91</v>
      </c>
      <c r="H26" s="43">
        <f t="shared" si="1"/>
        <v>2698</v>
      </c>
      <c r="I26">
        <v>24</v>
      </c>
      <c r="J26">
        <f t="shared" si="45"/>
        <v>3220</v>
      </c>
      <c r="K26" s="43">
        <f t="shared" si="46"/>
        <v>483</v>
      </c>
      <c r="L26" s="43">
        <f t="shared" si="2"/>
        <v>14329</v>
      </c>
      <c r="M26">
        <v>24</v>
      </c>
      <c r="N26">
        <f t="shared" si="47"/>
        <v>916</v>
      </c>
      <c r="O26" s="43">
        <f t="shared" si="48"/>
        <v>137</v>
      </c>
      <c r="P26" s="43">
        <f t="shared" si="3"/>
        <v>4067</v>
      </c>
      <c r="Q26">
        <v>24</v>
      </c>
      <c r="R26">
        <f t="shared" si="49"/>
        <v>1125</v>
      </c>
      <c r="S26" s="43">
        <f t="shared" si="50"/>
        <v>169</v>
      </c>
      <c r="T26" s="43">
        <f t="shared" si="4"/>
        <v>5012</v>
      </c>
      <c r="U26">
        <v>24</v>
      </c>
      <c r="V26">
        <f t="shared" si="51"/>
        <v>569</v>
      </c>
      <c r="W26" s="43">
        <f t="shared" si="52"/>
        <v>85</v>
      </c>
      <c r="X26" s="43">
        <f t="shared" si="5"/>
        <v>2524</v>
      </c>
      <c r="Y26">
        <v>24</v>
      </c>
      <c r="Z26">
        <f t="shared" si="53"/>
        <v>3004</v>
      </c>
      <c r="AA26" s="43">
        <f t="shared" si="54"/>
        <v>451</v>
      </c>
      <c r="AB26" s="43">
        <f t="shared" si="6"/>
        <v>13377</v>
      </c>
      <c r="AC26">
        <v>24</v>
      </c>
      <c r="AD26">
        <f t="shared" si="55"/>
        <v>916</v>
      </c>
      <c r="AE26" s="43">
        <f t="shared" si="56"/>
        <v>137</v>
      </c>
      <c r="AF26" s="43">
        <f t="shared" si="7"/>
        <v>4067</v>
      </c>
      <c r="AG26">
        <v>24</v>
      </c>
      <c r="AH26">
        <f t="shared" si="57"/>
        <v>1009</v>
      </c>
      <c r="AI26" s="43">
        <f t="shared" si="58"/>
        <v>151</v>
      </c>
      <c r="AJ26" s="43">
        <f t="shared" si="8"/>
        <v>4482</v>
      </c>
      <c r="AK26">
        <v>24</v>
      </c>
      <c r="AL26">
        <f t="shared" si="59"/>
        <v>569</v>
      </c>
      <c r="AM26" s="43">
        <f t="shared" si="60"/>
        <v>85</v>
      </c>
      <c r="AN26" s="43">
        <f t="shared" si="9"/>
        <v>2524</v>
      </c>
      <c r="AO26">
        <v>24</v>
      </c>
      <c r="AP26">
        <f t="shared" si="61"/>
        <v>2836</v>
      </c>
      <c r="AQ26" s="43">
        <f t="shared" si="62"/>
        <v>425</v>
      </c>
      <c r="AR26" s="43">
        <f t="shared" si="10"/>
        <v>12611</v>
      </c>
      <c r="AS26">
        <v>24</v>
      </c>
      <c r="AT26">
        <f t="shared" si="63"/>
        <v>916</v>
      </c>
      <c r="AU26" s="43">
        <f t="shared" si="64"/>
        <v>137</v>
      </c>
      <c r="AV26" s="43">
        <f t="shared" si="11"/>
        <v>4067</v>
      </c>
      <c r="AW26">
        <v>24</v>
      </c>
      <c r="AX26">
        <f t="shared" si="65"/>
        <v>870</v>
      </c>
      <c r="AY26" s="43">
        <f t="shared" si="12"/>
        <v>131</v>
      </c>
      <c r="AZ26" s="43">
        <f t="shared" si="13"/>
        <v>3883</v>
      </c>
      <c r="BA26">
        <v>24</v>
      </c>
      <c r="BB26">
        <f t="shared" si="66"/>
        <v>649</v>
      </c>
      <c r="BC26" s="43">
        <f t="shared" si="67"/>
        <v>97</v>
      </c>
      <c r="BD26" s="43">
        <f t="shared" si="14"/>
        <v>2880</v>
      </c>
      <c r="BE26">
        <v>24</v>
      </c>
      <c r="BF26">
        <f t="shared" si="68"/>
        <v>3269</v>
      </c>
      <c r="BG26" s="43">
        <f t="shared" si="69"/>
        <v>490</v>
      </c>
      <c r="BH26" s="43">
        <f t="shared" si="15"/>
        <v>14539</v>
      </c>
      <c r="BI26">
        <v>24</v>
      </c>
      <c r="BJ26">
        <f t="shared" si="70"/>
        <v>916</v>
      </c>
      <c r="BK26" s="43">
        <f t="shared" si="71"/>
        <v>137</v>
      </c>
      <c r="BL26" s="43">
        <f t="shared" si="16"/>
        <v>4067</v>
      </c>
      <c r="BM26">
        <v>24</v>
      </c>
      <c r="BN26">
        <f t="shared" si="72"/>
        <v>640</v>
      </c>
      <c r="BO26" s="43">
        <f t="shared" si="73"/>
        <v>96</v>
      </c>
      <c r="BP26" s="43">
        <f t="shared" si="17"/>
        <v>2848</v>
      </c>
      <c r="BQ26">
        <v>24</v>
      </c>
      <c r="BR26">
        <f t="shared" si="74"/>
        <v>763</v>
      </c>
      <c r="BS26" s="43">
        <f t="shared" si="75"/>
        <v>114</v>
      </c>
      <c r="BT26" s="43">
        <f t="shared" si="18"/>
        <v>3385</v>
      </c>
      <c r="BU26">
        <v>24</v>
      </c>
      <c r="BV26">
        <f t="shared" si="76"/>
        <v>3865</v>
      </c>
      <c r="BW26" s="43">
        <f t="shared" si="77"/>
        <v>580</v>
      </c>
      <c r="BX26" s="43">
        <f t="shared" si="19"/>
        <v>17205</v>
      </c>
      <c r="BY26">
        <v>24</v>
      </c>
      <c r="BZ26">
        <f t="shared" si="78"/>
        <v>916</v>
      </c>
      <c r="CA26" s="43">
        <f t="shared" si="79"/>
        <v>137</v>
      </c>
      <c r="CB26" s="43">
        <f t="shared" si="20"/>
        <v>4067</v>
      </c>
      <c r="CC26">
        <v>24</v>
      </c>
      <c r="CD26">
        <f t="shared" si="80"/>
        <v>880</v>
      </c>
      <c r="CE26" s="43">
        <f t="shared" si="81"/>
        <v>132</v>
      </c>
      <c r="CF26" s="43">
        <f t="shared" si="21"/>
        <v>3916</v>
      </c>
      <c r="CG26">
        <v>24</v>
      </c>
      <c r="CH26">
        <f t="shared" si="82"/>
        <v>645</v>
      </c>
      <c r="CI26" s="43">
        <f t="shared" si="83"/>
        <v>97</v>
      </c>
      <c r="CJ26" s="43">
        <f t="shared" si="22"/>
        <v>2876</v>
      </c>
      <c r="CK26">
        <v>24</v>
      </c>
      <c r="CL26">
        <f t="shared" si="84"/>
        <v>3260</v>
      </c>
      <c r="CM26" s="43">
        <f t="shared" si="85"/>
        <v>489</v>
      </c>
      <c r="CN26" s="43">
        <f t="shared" si="23"/>
        <v>14507</v>
      </c>
      <c r="CO26">
        <v>24</v>
      </c>
      <c r="CP26">
        <f t="shared" si="86"/>
        <v>916</v>
      </c>
      <c r="CQ26" s="43">
        <f t="shared" si="87"/>
        <v>137</v>
      </c>
      <c r="CR26" s="43">
        <f t="shared" si="24"/>
        <v>4067</v>
      </c>
      <c r="CS26">
        <v>24</v>
      </c>
      <c r="CT26">
        <f t="shared" si="88"/>
        <v>817</v>
      </c>
      <c r="CU26" s="43">
        <f t="shared" si="89"/>
        <v>123</v>
      </c>
      <c r="CV26" s="43">
        <f t="shared" si="25"/>
        <v>3646</v>
      </c>
      <c r="CW26">
        <v>24</v>
      </c>
      <c r="CX26">
        <f t="shared" si="90"/>
        <v>645</v>
      </c>
      <c r="CY26" s="43">
        <f t="shared" si="91"/>
        <v>97</v>
      </c>
      <c r="CZ26" s="43">
        <f t="shared" si="26"/>
        <v>2876</v>
      </c>
      <c r="DA26">
        <v>24</v>
      </c>
      <c r="DB26">
        <f t="shared" si="92"/>
        <v>3120</v>
      </c>
      <c r="DC26" s="43">
        <f t="shared" si="93"/>
        <v>468</v>
      </c>
      <c r="DD26" s="43">
        <f t="shared" si="27"/>
        <v>13884</v>
      </c>
      <c r="DE26">
        <v>24</v>
      </c>
      <c r="DF26">
        <f t="shared" si="94"/>
        <v>916</v>
      </c>
      <c r="DG26" s="43">
        <f t="shared" si="95"/>
        <v>137</v>
      </c>
      <c r="DH26" s="43">
        <f t="shared" si="28"/>
        <v>4067</v>
      </c>
      <c r="DI26">
        <v>24</v>
      </c>
      <c r="DJ26">
        <f t="shared" si="96"/>
        <v>760</v>
      </c>
      <c r="DK26" s="43">
        <f t="shared" si="97"/>
        <v>114</v>
      </c>
      <c r="DL26" s="43">
        <f t="shared" si="29"/>
        <v>3382</v>
      </c>
      <c r="DM26">
        <v>24</v>
      </c>
      <c r="DN26">
        <f t="shared" si="98"/>
        <v>690</v>
      </c>
      <c r="DO26" s="43">
        <f t="shared" si="99"/>
        <v>104</v>
      </c>
      <c r="DP26" s="43">
        <f t="shared" si="30"/>
        <v>3082</v>
      </c>
      <c r="DQ26">
        <v>24</v>
      </c>
      <c r="DR26">
        <f t="shared" si="100"/>
        <v>3930</v>
      </c>
      <c r="DS26" s="43">
        <f t="shared" si="101"/>
        <v>590</v>
      </c>
      <c r="DT26" s="43">
        <f t="shared" si="31"/>
        <v>17500</v>
      </c>
      <c r="DU26">
        <v>24</v>
      </c>
      <c r="DV26">
        <f t="shared" si="102"/>
        <v>916</v>
      </c>
      <c r="DW26" s="43">
        <f t="shared" si="103"/>
        <v>137</v>
      </c>
      <c r="DX26" s="43">
        <f t="shared" si="32"/>
        <v>4067</v>
      </c>
      <c r="DY26">
        <v>24</v>
      </c>
      <c r="DZ26">
        <f t="shared" si="104"/>
        <v>880</v>
      </c>
      <c r="EA26" s="43">
        <f t="shared" si="105"/>
        <v>132</v>
      </c>
      <c r="EB26" s="43">
        <f t="shared" si="33"/>
        <v>3916</v>
      </c>
      <c r="EC26">
        <v>24</v>
      </c>
      <c r="ED26">
        <f t="shared" si="106"/>
        <v>720</v>
      </c>
      <c r="EE26" s="43">
        <f t="shared" si="107"/>
        <v>108</v>
      </c>
      <c r="EF26" s="43">
        <f t="shared" si="34"/>
        <v>3204</v>
      </c>
      <c r="EG26">
        <v>24</v>
      </c>
      <c r="EH26">
        <f t="shared" si="108"/>
        <v>3566</v>
      </c>
      <c r="EI26" s="43">
        <f t="shared" si="109"/>
        <v>535</v>
      </c>
      <c r="EJ26" s="43">
        <f t="shared" si="35"/>
        <v>15871</v>
      </c>
      <c r="EK26">
        <v>24</v>
      </c>
      <c r="EL26">
        <f t="shared" si="110"/>
        <v>916</v>
      </c>
      <c r="EM26" s="43">
        <f t="shared" si="111"/>
        <v>137</v>
      </c>
      <c r="EN26" s="43">
        <f t="shared" si="36"/>
        <v>4067</v>
      </c>
      <c r="EO26">
        <v>24</v>
      </c>
      <c r="EP26">
        <f t="shared" si="112"/>
        <v>1010</v>
      </c>
      <c r="EQ26" s="43">
        <f t="shared" si="113"/>
        <v>152</v>
      </c>
      <c r="ER26" s="43">
        <f t="shared" si="37"/>
        <v>4506</v>
      </c>
      <c r="ES26">
        <v>24</v>
      </c>
      <c r="ET26">
        <f t="shared" si="114"/>
        <v>645</v>
      </c>
      <c r="EU26" s="43">
        <f t="shared" si="115"/>
        <v>97</v>
      </c>
      <c r="EV26" s="43">
        <f t="shared" si="38"/>
        <v>2876</v>
      </c>
      <c r="EW26">
        <v>24</v>
      </c>
      <c r="EX26">
        <f t="shared" si="116"/>
        <v>3260</v>
      </c>
      <c r="EY26" s="43">
        <f t="shared" si="117"/>
        <v>489</v>
      </c>
      <c r="EZ26" s="43">
        <f t="shared" si="39"/>
        <v>14507</v>
      </c>
      <c r="FA26">
        <v>24</v>
      </c>
      <c r="FB26">
        <f t="shared" si="118"/>
        <v>916</v>
      </c>
      <c r="FC26" s="43">
        <f t="shared" si="119"/>
        <v>137</v>
      </c>
      <c r="FD26" s="43">
        <f t="shared" si="40"/>
        <v>4067</v>
      </c>
    </row>
    <row r="27" spans="1:160">
      <c r="A27">
        <v>25</v>
      </c>
      <c r="B27">
        <f t="shared" si="41"/>
        <v>869</v>
      </c>
      <c r="C27" s="43">
        <f t="shared" si="42"/>
        <v>130</v>
      </c>
      <c r="D27" s="43">
        <f t="shared" si="0"/>
        <v>3989</v>
      </c>
      <c r="E27">
        <v>25</v>
      </c>
      <c r="F27">
        <f t="shared" si="43"/>
        <v>605</v>
      </c>
      <c r="G27" s="43">
        <f t="shared" si="44"/>
        <v>91</v>
      </c>
      <c r="H27" s="43">
        <f t="shared" si="1"/>
        <v>2789</v>
      </c>
      <c r="I27" s="43">
        <v>25</v>
      </c>
      <c r="J27">
        <f t="shared" si="45"/>
        <v>3220</v>
      </c>
      <c r="K27" s="43">
        <f t="shared" si="46"/>
        <v>483</v>
      </c>
      <c r="L27" s="43">
        <f t="shared" si="2"/>
        <v>14812</v>
      </c>
      <c r="M27" s="43">
        <v>25</v>
      </c>
      <c r="N27">
        <f t="shared" si="47"/>
        <v>916</v>
      </c>
      <c r="O27" s="43">
        <f t="shared" si="48"/>
        <v>137</v>
      </c>
      <c r="P27" s="43">
        <f t="shared" si="3"/>
        <v>4204</v>
      </c>
      <c r="Q27">
        <v>25</v>
      </c>
      <c r="R27">
        <f t="shared" si="49"/>
        <v>1125</v>
      </c>
      <c r="S27" s="43">
        <f t="shared" si="50"/>
        <v>169</v>
      </c>
      <c r="T27" s="43">
        <f t="shared" si="4"/>
        <v>5181</v>
      </c>
      <c r="U27">
        <v>25</v>
      </c>
      <c r="V27">
        <f t="shared" si="51"/>
        <v>569</v>
      </c>
      <c r="W27" s="43">
        <f t="shared" si="52"/>
        <v>85</v>
      </c>
      <c r="X27" s="43">
        <f t="shared" si="5"/>
        <v>2609</v>
      </c>
      <c r="Y27">
        <v>25</v>
      </c>
      <c r="Z27">
        <f t="shared" si="53"/>
        <v>3004</v>
      </c>
      <c r="AA27" s="43">
        <f t="shared" si="54"/>
        <v>451</v>
      </c>
      <c r="AB27" s="43">
        <f t="shared" si="6"/>
        <v>13828</v>
      </c>
      <c r="AC27" s="43">
        <v>25</v>
      </c>
      <c r="AD27">
        <f t="shared" si="55"/>
        <v>916</v>
      </c>
      <c r="AE27" s="43">
        <f t="shared" si="56"/>
        <v>137</v>
      </c>
      <c r="AF27" s="43">
        <f t="shared" si="7"/>
        <v>4204</v>
      </c>
      <c r="AG27" s="43">
        <v>25</v>
      </c>
      <c r="AH27">
        <f t="shared" si="57"/>
        <v>1009</v>
      </c>
      <c r="AI27" s="43">
        <f t="shared" si="58"/>
        <v>151</v>
      </c>
      <c r="AJ27" s="43">
        <f t="shared" si="8"/>
        <v>4633</v>
      </c>
      <c r="AK27" s="43">
        <v>25</v>
      </c>
      <c r="AL27">
        <f t="shared" si="59"/>
        <v>569</v>
      </c>
      <c r="AM27" s="43">
        <f t="shared" si="60"/>
        <v>85</v>
      </c>
      <c r="AN27" s="43">
        <f t="shared" si="9"/>
        <v>2609</v>
      </c>
      <c r="AO27" s="43">
        <v>25</v>
      </c>
      <c r="AP27">
        <f t="shared" si="61"/>
        <v>2836</v>
      </c>
      <c r="AQ27" s="43">
        <f t="shared" si="62"/>
        <v>425</v>
      </c>
      <c r="AR27" s="43">
        <f t="shared" si="10"/>
        <v>13036</v>
      </c>
      <c r="AS27" s="43">
        <v>25</v>
      </c>
      <c r="AT27">
        <f t="shared" si="63"/>
        <v>916</v>
      </c>
      <c r="AU27" s="43">
        <f t="shared" si="64"/>
        <v>137</v>
      </c>
      <c r="AV27" s="43">
        <f t="shared" si="11"/>
        <v>4204</v>
      </c>
      <c r="AW27">
        <v>25</v>
      </c>
      <c r="AX27">
        <f t="shared" si="65"/>
        <v>870</v>
      </c>
      <c r="AY27" s="43">
        <f t="shared" si="12"/>
        <v>131</v>
      </c>
      <c r="AZ27" s="43">
        <f t="shared" si="13"/>
        <v>4014</v>
      </c>
      <c r="BA27">
        <v>25</v>
      </c>
      <c r="BB27">
        <f t="shared" si="66"/>
        <v>649</v>
      </c>
      <c r="BC27" s="43">
        <f t="shared" si="67"/>
        <v>97</v>
      </c>
      <c r="BD27" s="43">
        <f t="shared" si="14"/>
        <v>2977</v>
      </c>
      <c r="BE27">
        <v>25</v>
      </c>
      <c r="BF27">
        <f t="shared" si="68"/>
        <v>3269</v>
      </c>
      <c r="BG27" s="43">
        <f t="shared" si="69"/>
        <v>490</v>
      </c>
      <c r="BH27" s="43">
        <f t="shared" si="15"/>
        <v>15029</v>
      </c>
      <c r="BI27" s="43">
        <v>25</v>
      </c>
      <c r="BJ27">
        <f t="shared" si="70"/>
        <v>916</v>
      </c>
      <c r="BK27" s="43">
        <f t="shared" si="71"/>
        <v>137</v>
      </c>
      <c r="BL27" s="43">
        <f t="shared" si="16"/>
        <v>4204</v>
      </c>
      <c r="BM27" s="43">
        <v>25</v>
      </c>
      <c r="BN27">
        <f t="shared" si="72"/>
        <v>640</v>
      </c>
      <c r="BO27" s="43">
        <f t="shared" si="73"/>
        <v>96</v>
      </c>
      <c r="BP27" s="43">
        <f t="shared" si="17"/>
        <v>2944</v>
      </c>
      <c r="BQ27" s="43">
        <v>25</v>
      </c>
      <c r="BR27">
        <f t="shared" si="74"/>
        <v>763</v>
      </c>
      <c r="BS27" s="43">
        <f t="shared" si="75"/>
        <v>114</v>
      </c>
      <c r="BT27" s="43">
        <f t="shared" si="18"/>
        <v>3499</v>
      </c>
      <c r="BU27" s="43">
        <v>25</v>
      </c>
      <c r="BV27">
        <f t="shared" si="76"/>
        <v>3865</v>
      </c>
      <c r="BW27" s="43">
        <f t="shared" si="77"/>
        <v>580</v>
      </c>
      <c r="BX27" s="43">
        <f t="shared" si="19"/>
        <v>17785</v>
      </c>
      <c r="BY27" s="43">
        <v>25</v>
      </c>
      <c r="BZ27">
        <f t="shared" si="78"/>
        <v>916</v>
      </c>
      <c r="CA27" s="43">
        <f t="shared" si="79"/>
        <v>137</v>
      </c>
      <c r="CB27" s="43">
        <f t="shared" si="20"/>
        <v>4204</v>
      </c>
      <c r="CC27">
        <v>25</v>
      </c>
      <c r="CD27">
        <f t="shared" si="80"/>
        <v>880</v>
      </c>
      <c r="CE27" s="43">
        <f t="shared" si="81"/>
        <v>132</v>
      </c>
      <c r="CF27" s="43">
        <f t="shared" si="21"/>
        <v>4048</v>
      </c>
      <c r="CG27">
        <v>25</v>
      </c>
      <c r="CH27">
        <f t="shared" si="82"/>
        <v>645</v>
      </c>
      <c r="CI27" s="43">
        <f t="shared" si="83"/>
        <v>97</v>
      </c>
      <c r="CJ27" s="43">
        <f t="shared" si="22"/>
        <v>2973</v>
      </c>
      <c r="CK27">
        <v>25</v>
      </c>
      <c r="CL27">
        <f t="shared" si="84"/>
        <v>3260</v>
      </c>
      <c r="CM27" s="43">
        <f t="shared" si="85"/>
        <v>489</v>
      </c>
      <c r="CN27" s="43">
        <f t="shared" si="23"/>
        <v>14996</v>
      </c>
      <c r="CO27" s="43">
        <v>25</v>
      </c>
      <c r="CP27">
        <f t="shared" si="86"/>
        <v>916</v>
      </c>
      <c r="CQ27" s="43">
        <f t="shared" si="87"/>
        <v>137</v>
      </c>
      <c r="CR27" s="43">
        <f t="shared" si="24"/>
        <v>4204</v>
      </c>
      <c r="CS27" s="43">
        <v>25</v>
      </c>
      <c r="CT27">
        <f t="shared" si="88"/>
        <v>817</v>
      </c>
      <c r="CU27" s="43">
        <f t="shared" si="89"/>
        <v>123</v>
      </c>
      <c r="CV27" s="43">
        <f t="shared" si="25"/>
        <v>3769</v>
      </c>
      <c r="CW27" s="43">
        <v>25</v>
      </c>
      <c r="CX27">
        <f t="shared" si="90"/>
        <v>645</v>
      </c>
      <c r="CY27" s="43">
        <f t="shared" si="91"/>
        <v>97</v>
      </c>
      <c r="CZ27" s="43">
        <f t="shared" si="26"/>
        <v>2973</v>
      </c>
      <c r="DA27" s="43">
        <v>25</v>
      </c>
      <c r="DB27">
        <f t="shared" si="92"/>
        <v>3120</v>
      </c>
      <c r="DC27" s="43">
        <f t="shared" si="93"/>
        <v>468</v>
      </c>
      <c r="DD27" s="43">
        <f t="shared" si="27"/>
        <v>14352</v>
      </c>
      <c r="DE27" s="43">
        <v>25</v>
      </c>
      <c r="DF27">
        <f t="shared" si="94"/>
        <v>916</v>
      </c>
      <c r="DG27" s="43">
        <f t="shared" si="95"/>
        <v>137</v>
      </c>
      <c r="DH27" s="43">
        <f t="shared" si="28"/>
        <v>4204</v>
      </c>
      <c r="DI27" s="43">
        <v>25</v>
      </c>
      <c r="DJ27">
        <f t="shared" si="96"/>
        <v>760</v>
      </c>
      <c r="DK27" s="43">
        <f t="shared" si="97"/>
        <v>114</v>
      </c>
      <c r="DL27" s="43">
        <f t="shared" si="29"/>
        <v>3496</v>
      </c>
      <c r="DM27" s="43">
        <v>25</v>
      </c>
      <c r="DN27">
        <f t="shared" si="98"/>
        <v>690</v>
      </c>
      <c r="DO27" s="43">
        <f t="shared" si="99"/>
        <v>104</v>
      </c>
      <c r="DP27" s="43">
        <f t="shared" si="30"/>
        <v>3186</v>
      </c>
      <c r="DQ27" s="43">
        <v>25</v>
      </c>
      <c r="DR27">
        <f t="shared" si="100"/>
        <v>3930</v>
      </c>
      <c r="DS27" s="43">
        <f t="shared" si="101"/>
        <v>590</v>
      </c>
      <c r="DT27" s="43">
        <f t="shared" si="31"/>
        <v>18090</v>
      </c>
      <c r="DU27" s="43">
        <v>25</v>
      </c>
      <c r="DV27">
        <f t="shared" si="102"/>
        <v>916</v>
      </c>
      <c r="DW27" s="43">
        <f t="shared" si="103"/>
        <v>137</v>
      </c>
      <c r="DX27" s="43">
        <f t="shared" si="32"/>
        <v>4204</v>
      </c>
      <c r="DY27">
        <v>25</v>
      </c>
      <c r="DZ27">
        <f t="shared" si="104"/>
        <v>880</v>
      </c>
      <c r="EA27" s="43">
        <f t="shared" si="105"/>
        <v>132</v>
      </c>
      <c r="EB27" s="43">
        <f t="shared" si="33"/>
        <v>4048</v>
      </c>
      <c r="EC27">
        <v>25</v>
      </c>
      <c r="ED27">
        <f t="shared" si="106"/>
        <v>720</v>
      </c>
      <c r="EE27" s="43">
        <f t="shared" si="107"/>
        <v>108</v>
      </c>
      <c r="EF27" s="43">
        <f t="shared" si="34"/>
        <v>3312</v>
      </c>
      <c r="EG27">
        <v>25</v>
      </c>
      <c r="EH27">
        <f t="shared" si="108"/>
        <v>3566</v>
      </c>
      <c r="EI27" s="43">
        <f t="shared" si="109"/>
        <v>535</v>
      </c>
      <c r="EJ27" s="43">
        <f t="shared" si="35"/>
        <v>16406</v>
      </c>
      <c r="EK27" s="43">
        <v>25</v>
      </c>
      <c r="EL27">
        <f t="shared" si="110"/>
        <v>916</v>
      </c>
      <c r="EM27" s="43">
        <f t="shared" si="111"/>
        <v>137</v>
      </c>
      <c r="EN27" s="43">
        <f t="shared" si="36"/>
        <v>4204</v>
      </c>
      <c r="EO27" s="43">
        <v>25</v>
      </c>
      <c r="EP27">
        <f t="shared" si="112"/>
        <v>1010</v>
      </c>
      <c r="EQ27" s="43">
        <f t="shared" si="113"/>
        <v>152</v>
      </c>
      <c r="ER27" s="43">
        <f t="shared" si="37"/>
        <v>4658</v>
      </c>
      <c r="ES27" s="43">
        <v>25</v>
      </c>
      <c r="ET27">
        <f t="shared" si="114"/>
        <v>645</v>
      </c>
      <c r="EU27" s="43">
        <f t="shared" si="115"/>
        <v>97</v>
      </c>
      <c r="EV27" s="43">
        <f t="shared" si="38"/>
        <v>2973</v>
      </c>
      <c r="EW27" s="43">
        <v>25</v>
      </c>
      <c r="EX27">
        <f t="shared" si="116"/>
        <v>3260</v>
      </c>
      <c r="EY27" s="43">
        <f t="shared" si="117"/>
        <v>489</v>
      </c>
      <c r="EZ27" s="43">
        <f t="shared" si="39"/>
        <v>14996</v>
      </c>
      <c r="FA27" s="43">
        <v>25</v>
      </c>
      <c r="FB27">
        <f t="shared" si="118"/>
        <v>916</v>
      </c>
      <c r="FC27" s="43">
        <f t="shared" si="119"/>
        <v>137</v>
      </c>
      <c r="FD27" s="43">
        <f t="shared" si="40"/>
        <v>4204</v>
      </c>
    </row>
    <row r="28" s="1" customFormat="1" spans="1:160">
      <c r="A28" s="44" t="s">
        <v>1024</v>
      </c>
      <c r="E28" s="44" t="s">
        <v>1025</v>
      </c>
      <c r="I28" s="45" t="s">
        <v>1026</v>
      </c>
      <c r="M28" s="45" t="s">
        <v>1027</v>
      </c>
      <c r="Q28" s="44" t="s">
        <v>1028</v>
      </c>
      <c r="U28" s="44" t="s">
        <v>1029</v>
      </c>
      <c r="Y28" s="44" t="s">
        <v>1030</v>
      </c>
      <c r="AC28" s="45" t="s">
        <v>1031</v>
      </c>
      <c r="AG28" s="45" t="s">
        <v>1032</v>
      </c>
      <c r="AK28" s="45" t="s">
        <v>1033</v>
      </c>
      <c r="AO28" s="45" t="s">
        <v>1034</v>
      </c>
      <c r="AS28" s="45" t="s">
        <v>1035</v>
      </c>
      <c r="AW28" s="44" t="s">
        <v>1036</v>
      </c>
      <c r="BA28" s="44" t="s">
        <v>1037</v>
      </c>
      <c r="BE28" s="44" t="s">
        <v>1038</v>
      </c>
      <c r="BI28" s="45" t="s">
        <v>1039</v>
      </c>
      <c r="BM28" s="45" t="s">
        <v>1040</v>
      </c>
      <c r="BQ28" s="45" t="s">
        <v>1041</v>
      </c>
      <c r="BU28" s="45" t="s">
        <v>1042</v>
      </c>
      <c r="BY28" s="45" t="s">
        <v>1043</v>
      </c>
      <c r="CC28" s="44" t="s">
        <v>1044</v>
      </c>
      <c r="CG28" s="44" t="s">
        <v>1045</v>
      </c>
      <c r="CK28" s="44" t="s">
        <v>1046</v>
      </c>
      <c r="CO28" s="45" t="s">
        <v>1047</v>
      </c>
      <c r="CS28" s="45" t="s">
        <v>1048</v>
      </c>
      <c r="CW28" s="45" t="s">
        <v>1049</v>
      </c>
      <c r="DA28" s="45" t="s">
        <v>1050</v>
      </c>
      <c r="DE28" s="45" t="s">
        <v>1051</v>
      </c>
      <c r="DI28" s="45" t="s">
        <v>1008</v>
      </c>
      <c r="DM28" s="45" t="s">
        <v>1052</v>
      </c>
      <c r="DQ28" s="45" t="s">
        <v>1053</v>
      </c>
      <c r="DU28" s="45" t="s">
        <v>1054</v>
      </c>
      <c r="DY28" s="44" t="s">
        <v>1055</v>
      </c>
      <c r="EC28" s="44" t="s">
        <v>1056</v>
      </c>
      <c r="EG28" s="44" t="s">
        <v>1057</v>
      </c>
      <c r="EK28" s="45" t="s">
        <v>1058</v>
      </c>
      <c r="EO28" s="45" t="s">
        <v>1059</v>
      </c>
      <c r="ES28" s="45" t="s">
        <v>1060</v>
      </c>
      <c r="EW28" s="45" t="s">
        <v>1061</v>
      </c>
      <c r="FA28" s="45" t="s">
        <v>1062</v>
      </c>
    </row>
    <row r="29" spans="1:160">
      <c r="B29">
        <f>ROUND(B27*0.8,0)</f>
        <v>695</v>
      </c>
      <c r="C29">
        <f>ROUND(C27*0.8,0)</f>
        <v>104</v>
      </c>
      <c r="D29">
        <f>ROUND(D27*0.8,0)</f>
        <v>3191</v>
      </c>
      <c r="F29">
        <f>ROUND(F27*0.8,0)</f>
        <v>484</v>
      </c>
      <c r="G29">
        <f>ROUND(G27*0.8,0)</f>
        <v>73</v>
      </c>
      <c r="H29">
        <f>ROUND(H27*0.8,0)</f>
        <v>2231</v>
      </c>
      <c r="J29">
        <f>J27*0.8</f>
        <v>2576</v>
      </c>
      <c r="K29">
        <f>ROUND(K27*0.8,0)</f>
        <v>386</v>
      </c>
      <c r="L29">
        <f>ROUND(L27*0.8,0)</f>
        <v>11850</v>
      </c>
      <c r="N29">
        <f>ROUND(N27*0.8,0)</f>
        <v>733</v>
      </c>
      <c r="O29">
        <f>ROUND(O27*0.8,0)</f>
        <v>110</v>
      </c>
      <c r="P29">
        <f>ROUND(P27*0.8,0)</f>
        <v>3363</v>
      </c>
      <c r="R29">
        <f>ROUND(R27*0.8,0)</f>
        <v>900</v>
      </c>
      <c r="S29">
        <f>ROUND(S27*0.8,0)</f>
        <v>135</v>
      </c>
      <c r="T29">
        <f>ROUND(T27*0.8,0)</f>
        <v>4145</v>
      </c>
      <c r="V29">
        <f>ROUND(V27*0.8,0)</f>
        <v>455</v>
      </c>
      <c r="W29">
        <f>ROUND(W27*0.8,0)</f>
        <v>68</v>
      </c>
      <c r="X29">
        <f>ROUND(X27*0.8,0)</f>
        <v>2087</v>
      </c>
      <c r="Z29">
        <f>ROUND(Z27*0.8,0)</f>
        <v>2403</v>
      </c>
      <c r="AA29">
        <f>ROUND(AA27*0.8,0)</f>
        <v>361</v>
      </c>
      <c r="AB29">
        <f>ROUND(AB27*0.8,0)</f>
        <v>11062</v>
      </c>
      <c r="AD29">
        <f>ROUND(AD27*0.8,0)</f>
        <v>733</v>
      </c>
      <c r="AE29">
        <f>ROUND(AE27*0.8,0)</f>
        <v>110</v>
      </c>
      <c r="AF29">
        <f>ROUND(AF27*0.8,0)</f>
        <v>3363</v>
      </c>
      <c r="AH29">
        <f>ROUND(AH27*0.8,0)</f>
        <v>807</v>
      </c>
      <c r="AI29">
        <f>ROUND(AI27*0.8,0)</f>
        <v>121</v>
      </c>
      <c r="AJ29">
        <f>ROUND(AJ27*0.8,0)</f>
        <v>3706</v>
      </c>
      <c r="AL29">
        <f>ROUND(AL27*0.8,0)</f>
        <v>455</v>
      </c>
      <c r="AM29">
        <f>ROUND(AM27*0.8,0)</f>
        <v>68</v>
      </c>
      <c r="AN29">
        <f>ROUND(AN27*0.8,0)</f>
        <v>2087</v>
      </c>
      <c r="AP29">
        <f>ROUND(AP27*0.8,0)</f>
        <v>2269</v>
      </c>
      <c r="AQ29">
        <f>ROUND(AQ27*0.8,0)</f>
        <v>340</v>
      </c>
      <c r="AR29">
        <f>ROUND(AR27*0.8,0)</f>
        <v>10429</v>
      </c>
      <c r="AT29">
        <f>ROUND(AT27*0.8,0)</f>
        <v>733</v>
      </c>
      <c r="AU29">
        <f>ROUND(AU27*0.8,0)</f>
        <v>110</v>
      </c>
      <c r="AV29">
        <f>ROUND(AV27*0.8,0)</f>
        <v>3363</v>
      </c>
      <c r="AX29">
        <f>AX27*0.8</f>
        <v>696</v>
      </c>
      <c r="AY29">
        <f>ROUND(AY27*0.8,0)</f>
        <v>105</v>
      </c>
      <c r="AZ29">
        <f>ROUND(AZ27*0.8,0)</f>
        <v>3211</v>
      </c>
      <c r="BB29">
        <f>ROUND(BB27*0.8,0)</f>
        <v>519</v>
      </c>
      <c r="BC29">
        <f>ROUND(BC27*0.8,0)</f>
        <v>78</v>
      </c>
      <c r="BD29">
        <f>ROUND(BD27*0.8,0)</f>
        <v>2382</v>
      </c>
      <c r="BF29">
        <f>ROUND(BF27*0.8,0)</f>
        <v>2615</v>
      </c>
      <c r="BG29">
        <f>ROUND(BG27*0.8,0)</f>
        <v>392</v>
      </c>
      <c r="BH29">
        <f>ROUND(BH27*0.8,0)</f>
        <v>12023</v>
      </c>
      <c r="BJ29">
        <f>ROUND(BJ27*0.8,0)</f>
        <v>733</v>
      </c>
      <c r="BK29">
        <f>ROUND(BK27*0.8,0)</f>
        <v>110</v>
      </c>
      <c r="BL29">
        <f>ROUND(BL27*0.8,0)</f>
        <v>3363</v>
      </c>
      <c r="BN29">
        <f>BN27*0.8</f>
        <v>512</v>
      </c>
      <c r="BO29">
        <f>ROUND(BO27*0.8,0)</f>
        <v>77</v>
      </c>
      <c r="BP29">
        <f>ROUND(BP27*0.8,0)</f>
        <v>2355</v>
      </c>
      <c r="BR29">
        <f>ROUND(BR27*0.8,0)</f>
        <v>610</v>
      </c>
      <c r="BS29">
        <f>ROUND(BS27*0.8,0)</f>
        <v>91</v>
      </c>
      <c r="BT29">
        <f>ROUND(BT27*0.8,0)</f>
        <v>2799</v>
      </c>
      <c r="BV29">
        <f>BV27*0.8</f>
        <v>3092</v>
      </c>
      <c r="BW29">
        <f>ROUND(BW27*0.8,0)</f>
        <v>464</v>
      </c>
      <c r="BX29">
        <f>ROUND(BX27*0.8,0)</f>
        <v>14228</v>
      </c>
      <c r="BZ29">
        <f>ROUND(BZ27*0.8,0)</f>
        <v>733</v>
      </c>
      <c r="CA29">
        <f>ROUND(CA27*0.8,0)</f>
        <v>110</v>
      </c>
      <c r="CB29">
        <f>ROUND(CB27*0.8,0)</f>
        <v>3363</v>
      </c>
      <c r="CD29">
        <f>ROUND(CD27*0.8,0)</f>
        <v>704</v>
      </c>
      <c r="CE29">
        <f>ROUND(CE27*0.8,0)</f>
        <v>106</v>
      </c>
      <c r="CF29">
        <f>ROUND(CF27*0.8,0)</f>
        <v>3238</v>
      </c>
      <c r="CH29">
        <f>ROUND(CH27*0.8,0)</f>
        <v>516</v>
      </c>
      <c r="CI29">
        <f>ROUND(CI27*0.8,0)</f>
        <v>78</v>
      </c>
      <c r="CJ29">
        <f>ROUND(CJ27*0.8,0)</f>
        <v>2378</v>
      </c>
      <c r="CL29">
        <f>ROUND(CL27*0.8,0)</f>
        <v>2608</v>
      </c>
      <c r="CM29">
        <f>ROUND(CM27*0.8,0)</f>
        <v>391</v>
      </c>
      <c r="CN29">
        <f>ROUND(CN27*0.8,0)</f>
        <v>11997</v>
      </c>
      <c r="CP29">
        <f>ROUND(CP27*0.8,0)</f>
        <v>733</v>
      </c>
      <c r="CQ29">
        <f>ROUND(CQ27*0.8,0)</f>
        <v>110</v>
      </c>
      <c r="CR29">
        <f>ROUND(CR27*0.8,0)</f>
        <v>3363</v>
      </c>
      <c r="CT29">
        <f>ROUND(CT27*0.8,0)</f>
        <v>654</v>
      </c>
      <c r="CU29">
        <f>ROUND(CU27*0.8,0)</f>
        <v>98</v>
      </c>
      <c r="CV29">
        <f>ROUND(CV27*0.8,0)</f>
        <v>3015</v>
      </c>
      <c r="CX29">
        <f>ROUND(CX27*0.8,0)</f>
        <v>516</v>
      </c>
      <c r="CY29">
        <f>ROUND(CY27*0.8,0)</f>
        <v>78</v>
      </c>
      <c r="CZ29">
        <f>ROUND(CZ27*0.8,0)</f>
        <v>2378</v>
      </c>
      <c r="DB29">
        <f>ROUND(DB27*0.8,0)</f>
        <v>2496</v>
      </c>
      <c r="DC29">
        <f>ROUND(DC27*0.8,0)</f>
        <v>374</v>
      </c>
      <c r="DD29">
        <f>ROUND(DD27*0.8,0)</f>
        <v>11482</v>
      </c>
      <c r="DF29">
        <f>ROUND(DF27*0.8,0)</f>
        <v>733</v>
      </c>
      <c r="DG29">
        <f>ROUND(DG27*0.8,0)</f>
        <v>110</v>
      </c>
      <c r="DH29">
        <f>ROUND(DH27*0.8,0)</f>
        <v>3363</v>
      </c>
      <c r="DJ29">
        <f>ROUND(DJ27*0.8,0)</f>
        <v>608</v>
      </c>
      <c r="DK29">
        <f>ROUND(DK27*0.8,0)</f>
        <v>91</v>
      </c>
      <c r="DL29">
        <f>ROUND(DL27*0.8,0)</f>
        <v>2797</v>
      </c>
      <c r="DN29">
        <f>ROUND(DN27*0.8,0)</f>
        <v>552</v>
      </c>
      <c r="DO29">
        <f>ROUND(DO27*0.8,0)</f>
        <v>83</v>
      </c>
      <c r="DP29">
        <f>ROUND(DP27*0.8,0)</f>
        <v>2549</v>
      </c>
      <c r="DR29">
        <f>ROUND(DR27*0.8,0)</f>
        <v>3144</v>
      </c>
      <c r="DS29">
        <f>ROUND(DS27*0.8,0)</f>
        <v>472</v>
      </c>
      <c r="DT29">
        <f>ROUND(DT27*0.8,0)</f>
        <v>14472</v>
      </c>
      <c r="DV29">
        <f>ROUND(DV27*0.8,0)</f>
        <v>733</v>
      </c>
      <c r="DW29">
        <f>ROUND(DW27*0.8,0)</f>
        <v>110</v>
      </c>
      <c r="DX29">
        <f>ROUND(DX27*0.8,0)</f>
        <v>3363</v>
      </c>
      <c r="DZ29">
        <f>ROUND(DZ27*0.8,0)</f>
        <v>704</v>
      </c>
      <c r="EA29">
        <f>ROUND(EA27*0.8,0)</f>
        <v>106</v>
      </c>
      <c r="EB29">
        <f>ROUND(EB27*0.8,0)</f>
        <v>3238</v>
      </c>
      <c r="ED29">
        <f>ROUND(ED27*0.8,0)</f>
        <v>576</v>
      </c>
      <c r="EE29">
        <f>ROUND(EE27*0.8,0)</f>
        <v>86</v>
      </c>
      <c r="EF29">
        <f>ROUND(EF27*0.8,0)</f>
        <v>2650</v>
      </c>
      <c r="EH29">
        <f>ROUND(EH27*0.8,0)</f>
        <v>2853</v>
      </c>
      <c r="EI29">
        <f>ROUND(EI27*0.8,0)</f>
        <v>428</v>
      </c>
      <c r="EJ29">
        <f>ROUND(EJ27*0.8,0)</f>
        <v>13125</v>
      </c>
      <c r="EL29">
        <f>ROUND(EL27*0.8,0)</f>
        <v>733</v>
      </c>
      <c r="EM29">
        <f>ROUND(EM27*0.8,0)</f>
        <v>110</v>
      </c>
      <c r="EN29">
        <f>ROUND(EN27*0.8,0)</f>
        <v>3363</v>
      </c>
      <c r="EP29">
        <f>ROUND(EP27*0.8,0)</f>
        <v>808</v>
      </c>
      <c r="EQ29">
        <f>ROUND(EQ27*0.8,0)</f>
        <v>122</v>
      </c>
      <c r="ER29">
        <f>ROUND(ER27*0.8,0)</f>
        <v>3726</v>
      </c>
      <c r="ET29">
        <f>ROUND(ET27*0.8,0)</f>
        <v>516</v>
      </c>
      <c r="EU29">
        <f>ROUND(EU27*0.8,0)</f>
        <v>78</v>
      </c>
      <c r="EV29">
        <f>ROUND(EV27*0.8,0)</f>
        <v>2378</v>
      </c>
      <c r="EX29">
        <f>ROUND(EX27*0.8,0)</f>
        <v>2608</v>
      </c>
      <c r="EY29">
        <f>ROUND(EY27*0.8,0)</f>
        <v>391</v>
      </c>
      <c r="EZ29">
        <f>ROUND(EZ27*0.8,0)</f>
        <v>11997</v>
      </c>
      <c r="FB29">
        <f>ROUND(FB27*0.8,0)</f>
        <v>733</v>
      </c>
      <c r="FC29">
        <f>ROUND(FC27*0.8,0)</f>
        <v>110</v>
      </c>
      <c r="FD29">
        <f>ROUND(FD27*0.8,0)</f>
        <v>3363</v>
      </c>
    </row>
    <row r="30" s="35" customFormat="1" spans="1:160">
      <c r="A30" s="46" t="s">
        <v>1024</v>
      </c>
      <c r="E30" s="46" t="s">
        <v>1025</v>
      </c>
      <c r="I30" s="47" t="s">
        <v>1026</v>
      </c>
      <c r="M30" s="47" t="s">
        <v>1027</v>
      </c>
      <c r="Q30" s="46" t="s">
        <v>1028</v>
      </c>
      <c r="U30" s="46" t="s">
        <v>1029</v>
      </c>
      <c r="Y30" s="46" t="s">
        <v>1030</v>
      </c>
      <c r="AC30" s="47" t="s">
        <v>1031</v>
      </c>
      <c r="AG30" s="47" t="s">
        <v>1032</v>
      </c>
      <c r="AK30" s="47" t="s">
        <v>1033</v>
      </c>
      <c r="AO30" s="47" t="s">
        <v>1034</v>
      </c>
      <c r="AS30" s="47" t="s">
        <v>1035</v>
      </c>
      <c r="AW30" s="46" t="s">
        <v>1036</v>
      </c>
      <c r="BA30" s="46" t="s">
        <v>1037</v>
      </c>
      <c r="BE30" s="46" t="s">
        <v>1038</v>
      </c>
      <c r="BI30" s="47" t="s">
        <v>1039</v>
      </c>
      <c r="BM30" s="47" t="s">
        <v>1040</v>
      </c>
      <c r="BQ30" s="47" t="s">
        <v>1041</v>
      </c>
      <c r="BU30" s="47" t="s">
        <v>1042</v>
      </c>
      <c r="BY30" s="47" t="s">
        <v>1043</v>
      </c>
      <c r="CC30" s="46" t="s">
        <v>1044</v>
      </c>
      <c r="CG30" s="46" t="s">
        <v>1045</v>
      </c>
      <c r="CK30" s="46" t="s">
        <v>1046</v>
      </c>
      <c r="CO30" s="47" t="s">
        <v>1047</v>
      </c>
      <c r="CS30" s="47" t="s">
        <v>1048</v>
      </c>
      <c r="CW30" s="47" t="s">
        <v>1049</v>
      </c>
      <c r="DA30" s="47" t="s">
        <v>1050</v>
      </c>
      <c r="DE30" s="47" t="s">
        <v>1051</v>
      </c>
      <c r="DI30" s="47" t="s">
        <v>1008</v>
      </c>
      <c r="DM30" s="47" t="s">
        <v>1052</v>
      </c>
      <c r="DQ30" s="47" t="s">
        <v>1053</v>
      </c>
      <c r="DU30" s="47" t="s">
        <v>1054</v>
      </c>
      <c r="DY30" s="46" t="s">
        <v>1055</v>
      </c>
      <c r="EC30" s="46" t="s">
        <v>1056</v>
      </c>
      <c r="EG30" s="46" t="s">
        <v>1057</v>
      </c>
      <c r="EK30" s="47" t="s">
        <v>1058</v>
      </c>
      <c r="EO30" s="47" t="s">
        <v>1059</v>
      </c>
      <c r="ES30" s="47" t="s">
        <v>1060</v>
      </c>
      <c r="EW30" s="47" t="s">
        <v>1061</v>
      </c>
      <c r="FA30" s="47" t="s">
        <v>1062</v>
      </c>
    </row>
    <row r="31" s="35" customFormat="1" spans="1:160">
      <c r="B31" s="35">
        <f>ROUND(B27*0.7,0)</f>
        <v>608</v>
      </c>
      <c r="C31" s="35">
        <f>ROUND(C27*0.7,0)</f>
        <v>91</v>
      </c>
      <c r="D31" s="35">
        <f>ROUND(D27*0.7,0)</f>
        <v>2792</v>
      </c>
      <c r="F31" s="35">
        <f>ROUND(F27*0.7,0)</f>
        <v>424</v>
      </c>
      <c r="G31" s="35">
        <f>ROUND(G27*0.7,0)</f>
        <v>64</v>
      </c>
      <c r="H31" s="35">
        <f>ROUND(H27*0.7,0)</f>
        <v>1952</v>
      </c>
      <c r="J31" s="35">
        <f>ROUND(J27*0.7,0)</f>
        <v>2254</v>
      </c>
      <c r="K31" s="35">
        <f>ROUND(K27*0.7,0)</f>
        <v>338</v>
      </c>
      <c r="L31" s="35">
        <f>ROUND(L27*0.7,0)</f>
        <v>10368</v>
      </c>
      <c r="N31" s="35">
        <f>ROUND(N27*0.7,0)</f>
        <v>641</v>
      </c>
      <c r="O31" s="35">
        <f>ROUND(O27*0.7,0)</f>
        <v>96</v>
      </c>
      <c r="P31" s="35">
        <f>ROUND(P27*0.7,0)</f>
        <v>2943</v>
      </c>
      <c r="R31" s="35">
        <f>ROUND(R27*0.7,0)</f>
        <v>788</v>
      </c>
      <c r="S31" s="35">
        <f>ROUND(S27*0.7,0)</f>
        <v>118</v>
      </c>
      <c r="T31" s="35">
        <f>ROUND(T27*0.7,0)</f>
        <v>3627</v>
      </c>
      <c r="V31" s="35">
        <f>ROUND(V27*0.7,0)</f>
        <v>398</v>
      </c>
      <c r="W31" s="35">
        <f>ROUND(W27*0.7,0)</f>
        <v>60</v>
      </c>
      <c r="X31" s="35">
        <f>ROUND(X27*0.7,0)</f>
        <v>1826</v>
      </c>
      <c r="Z31" s="35">
        <f>ROUND(Z27*0.7,0)</f>
        <v>2103</v>
      </c>
      <c r="AA31" s="35">
        <f>ROUND(AA27*0.7,0)</f>
        <v>316</v>
      </c>
      <c r="AB31" s="35">
        <f>ROUND(AB27*0.7,0)</f>
        <v>9680</v>
      </c>
      <c r="AD31" s="35">
        <f>ROUND(AD27*0.7,0)</f>
        <v>641</v>
      </c>
      <c r="AE31" s="35">
        <f>ROUND(AE27*0.7,0)</f>
        <v>96</v>
      </c>
      <c r="AF31" s="35">
        <f>ROUND(AF27*0.7,0)</f>
        <v>2943</v>
      </c>
      <c r="AH31" s="35">
        <f>ROUND(AH27*0.7,0)</f>
        <v>706</v>
      </c>
      <c r="AI31" s="35">
        <f>ROUND(AI27*0.7,0)</f>
        <v>106</v>
      </c>
      <c r="AJ31" s="35">
        <f>ROUND(AJ27*0.7,0)</f>
        <v>3243</v>
      </c>
      <c r="AL31" s="35">
        <f>ROUND(AL27*0.7,0)</f>
        <v>398</v>
      </c>
      <c r="AM31" s="35">
        <f>ROUND(AM27*0.7,0)</f>
        <v>60</v>
      </c>
      <c r="AN31" s="35">
        <f>ROUND(AN27*0.7,0)</f>
        <v>1826</v>
      </c>
      <c r="AP31" s="35">
        <f>ROUND(AP27*0.7,0)</f>
        <v>1985</v>
      </c>
      <c r="AQ31" s="35">
        <f>ROUND(AQ27*0.7,0)</f>
        <v>298</v>
      </c>
      <c r="AR31" s="35">
        <f>ROUND(AR27*0.7,0)</f>
        <v>9125</v>
      </c>
      <c r="AT31" s="35">
        <f>ROUND(AT27*0.7,0)</f>
        <v>641</v>
      </c>
      <c r="AU31" s="35">
        <f>ROUND(AU27*0.7,0)</f>
        <v>96</v>
      </c>
      <c r="AV31" s="35">
        <f>ROUND(AV27*0.7,0)</f>
        <v>2943</v>
      </c>
      <c r="AX31" s="35">
        <f>ROUND(AX27*0.7,0)</f>
        <v>609</v>
      </c>
      <c r="AY31" s="35">
        <f>ROUND(AY27*0.7,0)</f>
        <v>92</v>
      </c>
      <c r="AZ31" s="35">
        <f>ROUND(AZ27*0.7,0)</f>
        <v>2810</v>
      </c>
      <c r="BB31" s="35">
        <f>ROUND(BB27*0.7,0)</f>
        <v>454</v>
      </c>
      <c r="BC31" s="35">
        <f>ROUND(BC27*0.7,0)</f>
        <v>68</v>
      </c>
      <c r="BD31" s="35">
        <f>ROUND(BD27*0.7,0)</f>
        <v>2084</v>
      </c>
      <c r="BF31" s="35">
        <f>ROUND(BF27*0.7,0)</f>
        <v>2288</v>
      </c>
      <c r="BG31" s="35">
        <f>ROUND(BG27*0.7,0)</f>
        <v>343</v>
      </c>
      <c r="BH31" s="35">
        <f>ROUND(BH27*0.7,0)</f>
        <v>10520</v>
      </c>
      <c r="BJ31" s="35">
        <f>ROUND(BJ27*0.7,0)</f>
        <v>641</v>
      </c>
      <c r="BK31" s="35">
        <f>ROUND(BK27*0.7,0)</f>
        <v>96</v>
      </c>
      <c r="BL31" s="35">
        <f>ROUND(BL27*0.7,0)</f>
        <v>2943</v>
      </c>
      <c r="BN31" s="35">
        <f>ROUND(BN27*0.7,0)</f>
        <v>448</v>
      </c>
      <c r="BO31" s="35">
        <f>ROUND(BO27*0.7,0)</f>
        <v>67</v>
      </c>
      <c r="BP31" s="35">
        <f>ROUND(BP27*0.7,0)</f>
        <v>2061</v>
      </c>
      <c r="BR31" s="35">
        <f>ROUND(BR27*0.7,0)</f>
        <v>534</v>
      </c>
      <c r="BS31" s="35">
        <f>ROUND(BS27*0.7,0)</f>
        <v>80</v>
      </c>
      <c r="BT31" s="35">
        <f>ROUND(BT27*0.7,0)</f>
        <v>2449</v>
      </c>
      <c r="BV31" s="35">
        <f>ROUND(BV27*0.7,0)</f>
        <v>2706</v>
      </c>
      <c r="BW31" s="35">
        <f>ROUND(BW27*0.7,0)</f>
        <v>406</v>
      </c>
      <c r="BX31" s="35">
        <f>ROUND(BX27*0.7,0)</f>
        <v>12450</v>
      </c>
      <c r="BZ31" s="35">
        <f>ROUND(BZ27*0.7,0)</f>
        <v>641</v>
      </c>
      <c r="CA31" s="35">
        <f>ROUND(CA27*0.7,0)</f>
        <v>96</v>
      </c>
      <c r="CB31" s="35">
        <f>ROUND(CB27*0.7,0)</f>
        <v>2943</v>
      </c>
      <c r="CD31" s="35">
        <f>ROUND(CD27*0.7,0)</f>
        <v>616</v>
      </c>
      <c r="CE31" s="35">
        <f>ROUND(CE27*0.7,0)</f>
        <v>92</v>
      </c>
      <c r="CF31" s="35">
        <f>ROUND(CF27*0.7,0)</f>
        <v>2834</v>
      </c>
      <c r="CH31" s="35">
        <f>ROUND(CH27*0.7,0)</f>
        <v>452</v>
      </c>
      <c r="CI31" s="35">
        <f>ROUND(CI27*0.7,0)</f>
        <v>68</v>
      </c>
      <c r="CJ31" s="35">
        <f>ROUND(CJ27*0.7,0)</f>
        <v>2081</v>
      </c>
      <c r="CL31" s="35">
        <f>ROUND(CL27*0.7,0)</f>
        <v>2282</v>
      </c>
      <c r="CM31" s="35">
        <f>ROUND(CM27*0.7,0)</f>
        <v>342</v>
      </c>
      <c r="CN31" s="35">
        <f>ROUND(CN27*0.7,0)</f>
        <v>10497</v>
      </c>
      <c r="CP31" s="35">
        <f>ROUND(CP27*0.7,0)</f>
        <v>641</v>
      </c>
      <c r="CQ31" s="35">
        <f>ROUND(CQ27*0.7,0)</f>
        <v>96</v>
      </c>
      <c r="CR31" s="35">
        <f>ROUND(CR27*0.7,0)</f>
        <v>2943</v>
      </c>
      <c r="CT31" s="35">
        <f>ROUND(CT27*0.7,0)</f>
        <v>572</v>
      </c>
      <c r="CU31" s="35">
        <f>ROUND(CU27*0.7,0)</f>
        <v>86</v>
      </c>
      <c r="CV31" s="35">
        <f>ROUND(CV27*0.7,0)</f>
        <v>2638</v>
      </c>
      <c r="CX31" s="35">
        <f>ROUND(CX27*0.7,0)</f>
        <v>452</v>
      </c>
      <c r="CY31" s="35">
        <f>ROUND(CY27*0.7,0)</f>
        <v>68</v>
      </c>
      <c r="CZ31" s="35">
        <f>ROUND(CZ27*0.7,0)</f>
        <v>2081</v>
      </c>
      <c r="DB31" s="35">
        <f>ROUND(DB27*0.7,0)</f>
        <v>2184</v>
      </c>
      <c r="DC31" s="35">
        <f>ROUND(DC27*0.7,0)</f>
        <v>328</v>
      </c>
      <c r="DD31" s="35">
        <f>ROUND(DD27*0.7,0)</f>
        <v>10046</v>
      </c>
      <c r="DF31" s="35">
        <f>ROUND(DF27*0.7,0)</f>
        <v>641</v>
      </c>
      <c r="DG31" s="35">
        <f>ROUND(DG27*0.7,0)</f>
        <v>96</v>
      </c>
      <c r="DH31" s="35">
        <f>ROUND(DH27*0.7,0)</f>
        <v>2943</v>
      </c>
      <c r="DJ31" s="35">
        <f>ROUND(DJ27*0.7,0)</f>
        <v>532</v>
      </c>
      <c r="DK31" s="35">
        <f>ROUND(DK27*0.7,0)</f>
        <v>80</v>
      </c>
      <c r="DL31" s="35">
        <f>ROUND(DL27*0.7,0)</f>
        <v>2447</v>
      </c>
      <c r="DN31" s="35">
        <f>ROUND(DN27*0.7,0)</f>
        <v>483</v>
      </c>
      <c r="DO31" s="35">
        <f>ROUND(DO27*0.7,0)</f>
        <v>73</v>
      </c>
      <c r="DP31" s="35">
        <f>ROUND(DP27*0.7,0)</f>
        <v>2230</v>
      </c>
      <c r="DR31" s="35">
        <f>ROUND(DR27*0.7,0)</f>
        <v>2751</v>
      </c>
      <c r="DS31" s="35">
        <f>ROUND(DS27*0.7,0)</f>
        <v>413</v>
      </c>
      <c r="DT31" s="35">
        <f>ROUND(DT27*0.7,0)</f>
        <v>12663</v>
      </c>
      <c r="DV31" s="35">
        <f>ROUND(DV27*0.7,0)</f>
        <v>641</v>
      </c>
      <c r="DW31" s="35">
        <f>ROUND(DW27*0.7,0)</f>
        <v>96</v>
      </c>
      <c r="DX31" s="35">
        <f>ROUND(DX27*0.7,0)</f>
        <v>2943</v>
      </c>
      <c r="DZ31" s="35">
        <f>ROUND(DZ27*0.7,0)</f>
        <v>616</v>
      </c>
      <c r="EA31" s="35">
        <f>ROUND(EA27*0.7,0)</f>
        <v>92</v>
      </c>
      <c r="EB31" s="35">
        <f>ROUND(EB27*0.7,0)</f>
        <v>2834</v>
      </c>
      <c r="ED31" s="35">
        <f>ROUND(ED27*0.7,0)</f>
        <v>504</v>
      </c>
      <c r="EE31" s="35">
        <f>ROUND(EE27*0.7,0)</f>
        <v>76</v>
      </c>
      <c r="EF31" s="35">
        <f>ROUND(EF27*0.7,0)</f>
        <v>2318</v>
      </c>
      <c r="EH31" s="35">
        <f>ROUND(EH27*0.7,0)</f>
        <v>2496</v>
      </c>
      <c r="EI31" s="35">
        <f>ROUND(EI27*0.7,0)</f>
        <v>375</v>
      </c>
      <c r="EJ31" s="35">
        <f>ROUND(EJ27*0.7,0)</f>
        <v>11484</v>
      </c>
      <c r="EL31" s="35">
        <f>ROUND(EL27*0.7,0)</f>
        <v>641</v>
      </c>
      <c r="EM31" s="35">
        <f>ROUND(EM27*0.7,0)</f>
        <v>96</v>
      </c>
      <c r="EN31" s="35">
        <f>ROUND(EN27*0.7,0)</f>
        <v>2943</v>
      </c>
      <c r="EP31" s="35">
        <f>ROUND(EP27*0.7,0)</f>
        <v>707</v>
      </c>
      <c r="EQ31" s="35">
        <f>ROUND(EQ27*0.7,0)</f>
        <v>106</v>
      </c>
      <c r="ER31" s="35">
        <f>ROUND(ER27*0.7,0)</f>
        <v>3261</v>
      </c>
      <c r="ET31" s="35">
        <f>ROUND(ET27*0.7,0)</f>
        <v>452</v>
      </c>
      <c r="EU31" s="35">
        <f>ROUND(EU27*0.7,0)</f>
        <v>68</v>
      </c>
      <c r="EV31" s="35">
        <f>ROUND(EV27*0.7,0)</f>
        <v>2081</v>
      </c>
      <c r="EX31" s="35">
        <f>ROUND(EX27*0.7,0)</f>
        <v>2282</v>
      </c>
      <c r="EY31" s="35">
        <f>ROUND(EY27*0.7,0)</f>
        <v>342</v>
      </c>
      <c r="EZ31" s="35">
        <f>ROUND(EZ27*0.7,0)</f>
        <v>10497</v>
      </c>
      <c r="FB31" s="35">
        <f>ROUND(FB27*0.7,0)</f>
        <v>641</v>
      </c>
      <c r="FC31" s="35">
        <f>ROUND(FC27*0.7,0)</f>
        <v>96</v>
      </c>
      <c r="FD31" s="35">
        <f>ROUND(FD27*0.7,0)</f>
        <v>2943</v>
      </c>
    </row>
    <row r="32" s="36" customFormat="1" spans="1:160">
      <c r="A32" s="48" t="s">
        <v>1063</v>
      </c>
      <c r="E32" s="48" t="s">
        <v>1064</v>
      </c>
      <c r="I32" s="49" t="s">
        <v>1065</v>
      </c>
      <c r="M32" s="49" t="s">
        <v>1066</v>
      </c>
      <c r="Q32" s="50" t="s">
        <v>1067</v>
      </c>
      <c r="U32" s="50" t="s">
        <v>1068</v>
      </c>
      <c r="Y32" s="50" t="s">
        <v>1069</v>
      </c>
      <c r="AC32" s="49" t="s">
        <v>1070</v>
      </c>
      <c r="AG32" s="49" t="s">
        <v>1071</v>
      </c>
      <c r="AK32" s="49" t="s">
        <v>1072</v>
      </c>
      <c r="AO32" s="49" t="s">
        <v>1073</v>
      </c>
      <c r="AS32" s="49" t="s">
        <v>1074</v>
      </c>
      <c r="AW32" s="48" t="s">
        <v>1075</v>
      </c>
      <c r="BA32" s="48" t="s">
        <v>1076</v>
      </c>
      <c r="BE32" s="48" t="s">
        <v>1077</v>
      </c>
      <c r="BI32" s="49" t="s">
        <v>1078</v>
      </c>
      <c r="BM32" s="49" t="s">
        <v>1079</v>
      </c>
      <c r="BQ32" s="49" t="s">
        <v>1080</v>
      </c>
      <c r="BU32" s="49" t="s">
        <v>1042</v>
      </c>
      <c r="BY32" s="49" t="s">
        <v>1081</v>
      </c>
      <c r="CC32" s="48" t="s">
        <v>1082</v>
      </c>
      <c r="CG32" s="48" t="s">
        <v>1083</v>
      </c>
      <c r="CK32" s="48" t="s">
        <v>1084</v>
      </c>
      <c r="CO32" s="49" t="s">
        <v>1085</v>
      </c>
      <c r="CS32" s="49" t="s">
        <v>1086</v>
      </c>
      <c r="CW32" s="49" t="s">
        <v>1087</v>
      </c>
      <c r="DA32" s="49" t="s">
        <v>1088</v>
      </c>
      <c r="DE32" s="49" t="s">
        <v>1089</v>
      </c>
      <c r="DI32" s="49" t="s">
        <v>1090</v>
      </c>
      <c r="DM32" s="49" t="s">
        <v>1091</v>
      </c>
      <c r="DQ32" s="49" t="s">
        <v>1092</v>
      </c>
      <c r="DU32" s="49" t="s">
        <v>1093</v>
      </c>
      <c r="DY32" s="48" t="s">
        <v>1094</v>
      </c>
      <c r="EC32" s="48" t="s">
        <v>1095</v>
      </c>
      <c r="EG32" s="48" t="s">
        <v>1096</v>
      </c>
      <c r="EK32" s="49" t="s">
        <v>1097</v>
      </c>
      <c r="EO32" s="49" t="s">
        <v>1098</v>
      </c>
      <c r="ES32" s="49" t="s">
        <v>1099</v>
      </c>
      <c r="EW32" s="49" t="s">
        <v>1100</v>
      </c>
      <c r="FA32" s="49" t="s">
        <v>1101</v>
      </c>
    </row>
    <row r="33" s="36" customFormat="1" spans="1:160">
      <c r="B33" s="36">
        <f>ROUND(B27*0.6,0)</f>
        <v>521</v>
      </c>
      <c r="C33" s="36">
        <f>ROUND(C27*0.6,0)</f>
        <v>78</v>
      </c>
      <c r="D33" s="36">
        <f>ROUND(D27*0.6,0)</f>
        <v>2393</v>
      </c>
      <c r="F33" s="36">
        <f>ROUND(F27*0.6,0)</f>
        <v>363</v>
      </c>
      <c r="G33" s="36">
        <f>ROUND(G27*0.6,0)</f>
        <v>55</v>
      </c>
      <c r="H33" s="36">
        <f>ROUND(H27*0.6,0)</f>
        <v>1673</v>
      </c>
      <c r="J33" s="36">
        <f>ROUND(J27*0.6,0)</f>
        <v>1932</v>
      </c>
      <c r="K33" s="36">
        <f>ROUND(K27*0.6,0)</f>
        <v>290</v>
      </c>
      <c r="L33" s="36">
        <f>ROUND(L27*0.6,0)</f>
        <v>8887</v>
      </c>
      <c r="N33" s="36">
        <f>ROUND(N27*0.6,0)</f>
        <v>550</v>
      </c>
      <c r="O33" s="36">
        <f>ROUND(O27*0.6,0)</f>
        <v>82</v>
      </c>
      <c r="P33" s="36">
        <f>ROUND(P27*0.6,0)</f>
        <v>2522</v>
      </c>
      <c r="R33" s="36">
        <f>ROUND(R27*0.6,0)</f>
        <v>675</v>
      </c>
      <c r="S33" s="36">
        <f>ROUND(S27*0.6,0)</f>
        <v>101</v>
      </c>
      <c r="T33" s="36">
        <f>ROUND(T27*0.6,0)</f>
        <v>3109</v>
      </c>
      <c r="V33" s="36">
        <f>ROUND(V27*0.6,0)</f>
        <v>341</v>
      </c>
      <c r="W33" s="36">
        <f>ROUND(W27*0.6,0)</f>
        <v>51</v>
      </c>
      <c r="X33" s="36">
        <f>ROUND(X27*0.6,0)</f>
        <v>1565</v>
      </c>
      <c r="Z33" s="36">
        <f>ROUND(Z27*0.6,0)</f>
        <v>1802</v>
      </c>
      <c r="AA33" s="36">
        <f>ROUND(AA27*0.6,0)</f>
        <v>271</v>
      </c>
      <c r="AB33" s="36">
        <f>ROUND(AB27*0.6,0)</f>
        <v>8297</v>
      </c>
      <c r="AD33" s="36">
        <f>ROUND(AD27*0.6,0)</f>
        <v>550</v>
      </c>
      <c r="AE33" s="36">
        <f>ROUND(AE27*0.6,0)</f>
        <v>82</v>
      </c>
      <c r="AF33" s="36">
        <f>ROUND(AF27*0.6,0)</f>
        <v>2522</v>
      </c>
      <c r="AH33" s="36">
        <f>ROUND(AH27*0.6,0)</f>
        <v>605</v>
      </c>
      <c r="AI33" s="36">
        <f>ROUND(AI27*0.6,0)</f>
        <v>91</v>
      </c>
      <c r="AJ33" s="36">
        <f>ROUND(AJ27*0.6,0)</f>
        <v>2780</v>
      </c>
      <c r="AL33" s="36">
        <f>ROUND(AL27*0.6,0)</f>
        <v>341</v>
      </c>
      <c r="AM33" s="36">
        <f>ROUND(AM27*0.6,0)</f>
        <v>51</v>
      </c>
      <c r="AN33" s="36">
        <f>ROUND(AN27*0.6,0)</f>
        <v>1565</v>
      </c>
      <c r="AP33" s="36">
        <f>ROUND(AP27*0.6,0)</f>
        <v>1702</v>
      </c>
      <c r="AQ33" s="36">
        <f>ROUND(AQ27*0.6,0)</f>
        <v>255</v>
      </c>
      <c r="AR33" s="36">
        <f>ROUND(AR27*0.6,0)</f>
        <v>7822</v>
      </c>
      <c r="AT33" s="36">
        <f>ROUND(AT27*0.6,0)</f>
        <v>550</v>
      </c>
      <c r="AU33" s="36">
        <f>ROUND(AU27*0.6,0)</f>
        <v>82</v>
      </c>
      <c r="AV33" s="36">
        <f>ROUND(AV27*0.6,0)</f>
        <v>2522</v>
      </c>
      <c r="AX33" s="36">
        <f>ROUND(AX27*0.6,0)</f>
        <v>522</v>
      </c>
      <c r="AY33" s="36">
        <f>ROUND(AY27*0.6,0)</f>
        <v>79</v>
      </c>
      <c r="AZ33" s="36">
        <f>ROUND(AZ27*0.6,0)</f>
        <v>2408</v>
      </c>
      <c r="BB33" s="36">
        <f>ROUND(BB27*0.6,0)</f>
        <v>389</v>
      </c>
      <c r="BC33" s="36">
        <f>ROUND(BC27*0.6,0)</f>
        <v>58</v>
      </c>
      <c r="BD33" s="36">
        <f>ROUND(BD27*0.6,0)</f>
        <v>1786</v>
      </c>
      <c r="BF33" s="36">
        <f>ROUND(BF27*0.6,0)</f>
        <v>1961</v>
      </c>
      <c r="BG33" s="36">
        <f>ROUND(BG27*0.6,0)</f>
        <v>294</v>
      </c>
      <c r="BH33" s="36">
        <f>ROUND(BH27*0.6,0)</f>
        <v>9017</v>
      </c>
      <c r="BJ33" s="36">
        <f>ROUND(BJ27*0.6,0)</f>
        <v>550</v>
      </c>
      <c r="BK33" s="36">
        <f>ROUND(BK27*0.6,0)</f>
        <v>82</v>
      </c>
      <c r="BL33" s="36">
        <f>ROUND(BL27*0.6,0)</f>
        <v>2522</v>
      </c>
      <c r="BN33" s="36">
        <f>ROUND(BN27*0.6,0)</f>
        <v>384</v>
      </c>
      <c r="BO33" s="36">
        <f>ROUND(BO27*0.6,0)</f>
        <v>58</v>
      </c>
      <c r="BP33" s="36">
        <f>ROUND(BP27*0.6,0)</f>
        <v>1766</v>
      </c>
      <c r="BR33" s="36">
        <f>ROUND(BR27*0.6,0)</f>
        <v>458</v>
      </c>
      <c r="BS33" s="36">
        <f>ROUND(BS27*0.6,0)</f>
        <v>68</v>
      </c>
      <c r="BT33" s="36">
        <f>ROUND(BT27*0.6,0)</f>
        <v>2099</v>
      </c>
      <c r="BV33" s="36">
        <f>ROUND(BV27*0.6,0)</f>
        <v>2319</v>
      </c>
      <c r="BW33" s="36">
        <f>ROUND(BW27*0.6,0)</f>
        <v>348</v>
      </c>
      <c r="BX33" s="36">
        <f>ROUND(BX27*0.6,0)</f>
        <v>10671</v>
      </c>
      <c r="BZ33" s="36">
        <f>ROUND(BZ27*0.6,0)</f>
        <v>550</v>
      </c>
      <c r="CA33" s="36">
        <f>ROUND(CA27*0.6,0)</f>
        <v>82</v>
      </c>
      <c r="CB33" s="36">
        <f>ROUND(CB27*0.6,0)</f>
        <v>2522</v>
      </c>
      <c r="CD33" s="36">
        <f>ROUND(CD27*0.6,0)</f>
        <v>528</v>
      </c>
      <c r="CE33" s="36">
        <f>ROUND(CE27*0.6,0)</f>
        <v>79</v>
      </c>
      <c r="CF33" s="36">
        <f>ROUND(CF27*0.6,0)</f>
        <v>2429</v>
      </c>
      <c r="CH33" s="36">
        <f>ROUND(CH27*0.6,0)</f>
        <v>387</v>
      </c>
      <c r="CI33" s="36">
        <f>ROUND(CI27*0.6,0)</f>
        <v>58</v>
      </c>
      <c r="CJ33" s="36">
        <f>ROUND(CJ27*0.6,0)</f>
        <v>1784</v>
      </c>
      <c r="CL33" s="36">
        <f>ROUND(CL27*0.6,0)</f>
        <v>1956</v>
      </c>
      <c r="CM33" s="36">
        <f>ROUND(CM27*0.6,0)</f>
        <v>293</v>
      </c>
      <c r="CN33" s="36">
        <f>ROUND(CN27*0.6,0)</f>
        <v>8998</v>
      </c>
      <c r="CP33" s="36">
        <f>ROUND(CP27*0.6,0)</f>
        <v>550</v>
      </c>
      <c r="CQ33" s="36">
        <f>ROUND(CQ27*0.6,0)</f>
        <v>82</v>
      </c>
      <c r="CR33" s="36">
        <f>ROUND(CR27*0.6,0)</f>
        <v>2522</v>
      </c>
      <c r="CT33" s="36">
        <f>ROUND(CT27*0.6,0)</f>
        <v>490</v>
      </c>
      <c r="CU33" s="36">
        <f>ROUND(CU27*0.6,0)</f>
        <v>74</v>
      </c>
      <c r="CV33" s="36">
        <f>ROUND(CV27*0.6,0)</f>
        <v>2261</v>
      </c>
      <c r="CX33" s="36">
        <f>ROUND(CX27*0.6,0)</f>
        <v>387</v>
      </c>
      <c r="CY33" s="36">
        <f>ROUND(CY27*0.6,0)</f>
        <v>58</v>
      </c>
      <c r="CZ33" s="36">
        <f>ROUND(CZ27*0.6,0)</f>
        <v>1784</v>
      </c>
      <c r="DB33" s="36">
        <f>ROUND(DB27*0.6,0)</f>
        <v>1872</v>
      </c>
      <c r="DC33" s="36">
        <f>ROUND(DC27*0.6,0)</f>
        <v>281</v>
      </c>
      <c r="DD33" s="36">
        <f>ROUND(DD27*0.6,0)</f>
        <v>8611</v>
      </c>
      <c r="DF33" s="36">
        <f>ROUND(DF27*0.6,0)</f>
        <v>550</v>
      </c>
      <c r="DG33" s="36">
        <f>ROUND(DG27*0.6,0)</f>
        <v>82</v>
      </c>
      <c r="DH33" s="36">
        <f>ROUND(DH27*0.6,0)</f>
        <v>2522</v>
      </c>
      <c r="DJ33" s="36">
        <f>ROUND(DJ27*0.6,0)</f>
        <v>456</v>
      </c>
      <c r="DK33" s="36">
        <f>ROUND(DK27*0.6,0)</f>
        <v>68</v>
      </c>
      <c r="DL33" s="36">
        <f>ROUND(DL27*0.6,0)</f>
        <v>2098</v>
      </c>
      <c r="DN33" s="36">
        <f>ROUND(DN27*0.6,0)</f>
        <v>414</v>
      </c>
      <c r="DO33" s="36">
        <f>ROUND(DO27*0.6,0)</f>
        <v>62</v>
      </c>
      <c r="DP33" s="36">
        <f>ROUND(DP27*0.6,0)</f>
        <v>1912</v>
      </c>
      <c r="DR33" s="36">
        <f>ROUND(DR27*0.6,0)</f>
        <v>2358</v>
      </c>
      <c r="DS33" s="36">
        <f>ROUND(DS27*0.6,0)</f>
        <v>354</v>
      </c>
      <c r="DT33" s="36">
        <f>ROUND(DT27*0.6,0)</f>
        <v>10854</v>
      </c>
      <c r="DV33" s="36">
        <f>ROUND(DV27*0.6,0)</f>
        <v>550</v>
      </c>
      <c r="DW33" s="36">
        <f>ROUND(DW27*0.6,0)</f>
        <v>82</v>
      </c>
      <c r="DX33" s="36">
        <f>ROUND(DX27*0.6,0)</f>
        <v>2522</v>
      </c>
      <c r="DZ33" s="36">
        <f>ROUND(DZ27*0.6,0)</f>
        <v>528</v>
      </c>
      <c r="EA33" s="36">
        <f>ROUND(EA27*0.6,0)</f>
        <v>79</v>
      </c>
      <c r="EB33" s="36">
        <f>ROUND(EB27*0.6,0)</f>
        <v>2429</v>
      </c>
      <c r="ED33" s="36">
        <f>ROUND(ED27*0.6,0)</f>
        <v>432</v>
      </c>
      <c r="EE33" s="36">
        <f>ROUND(EE27*0.6,0)</f>
        <v>65</v>
      </c>
      <c r="EF33" s="36">
        <f>ROUND(EF27*0.6,0)</f>
        <v>1987</v>
      </c>
      <c r="EH33" s="36">
        <f>ROUND(EH27*0.6,0)</f>
        <v>2140</v>
      </c>
      <c r="EI33" s="36">
        <f>ROUND(EI27*0.6,0)</f>
        <v>321</v>
      </c>
      <c r="EJ33" s="36">
        <f>ROUND(EJ27*0.6,0)</f>
        <v>9844</v>
      </c>
      <c r="EL33" s="36">
        <f>ROUND(EL27*0.6,0)</f>
        <v>550</v>
      </c>
      <c r="EM33" s="36">
        <f>ROUND(EM27*0.6,0)</f>
        <v>82</v>
      </c>
      <c r="EN33" s="36">
        <f>ROUND(EN27*0.6,0)</f>
        <v>2522</v>
      </c>
      <c r="EP33" s="36">
        <f>ROUND(EP27*0.6,0)</f>
        <v>606</v>
      </c>
      <c r="EQ33" s="36">
        <f>ROUND(EQ27*0.6,0)</f>
        <v>91</v>
      </c>
      <c r="ER33" s="36">
        <f>ROUND(ER27*0.6,0)</f>
        <v>2795</v>
      </c>
      <c r="ET33" s="36">
        <f>ROUND(ET27*0.6,0)</f>
        <v>387</v>
      </c>
      <c r="EU33" s="36">
        <f>ROUND(EU27*0.6,0)</f>
        <v>58</v>
      </c>
      <c r="EV33" s="36">
        <f>ROUND(EV27*0.6,0)</f>
        <v>1784</v>
      </c>
      <c r="EX33" s="36">
        <f>ROUND(EX27*0.6,0)</f>
        <v>1956</v>
      </c>
      <c r="EY33" s="36">
        <f>ROUND(EY27*0.6,0)</f>
        <v>293</v>
      </c>
      <c r="EZ33" s="36">
        <f>ROUND(EZ27*0.6,0)</f>
        <v>8998</v>
      </c>
      <c r="FB33" s="36">
        <f>ROUND(FB27*0.6,0)</f>
        <v>550</v>
      </c>
      <c r="FC33" s="36">
        <f>ROUND(FC27*0.6,0)</f>
        <v>82</v>
      </c>
      <c r="FD33" s="36">
        <f>ROUND(FD27*0.6,0)</f>
        <v>2522</v>
      </c>
    </row>
    <row r="34" spans="1:160">
      <c r="A34" s="37" t="s">
        <v>1063</v>
      </c>
      <c r="E34" s="37" t="s">
        <v>1064</v>
      </c>
      <c r="I34" s="38" t="s">
        <v>1065</v>
      </c>
      <c r="M34" s="38" t="s">
        <v>1066</v>
      </c>
      <c r="Q34" s="51" t="s">
        <v>1067</v>
      </c>
      <c r="U34" s="51" t="s">
        <v>1068</v>
      </c>
      <c r="Y34" s="51" t="s">
        <v>1069</v>
      </c>
      <c r="AC34" s="38" t="s">
        <v>1070</v>
      </c>
      <c r="AG34" s="38" t="s">
        <v>1071</v>
      </c>
      <c r="AK34" s="38" t="s">
        <v>1072</v>
      </c>
      <c r="AO34" s="38" t="s">
        <v>1073</v>
      </c>
      <c r="AS34" s="38" t="s">
        <v>1074</v>
      </c>
      <c r="AW34" s="37" t="s">
        <v>1075</v>
      </c>
      <c r="BA34" s="37" t="s">
        <v>1076</v>
      </c>
      <c r="BE34" s="37" t="s">
        <v>1077</v>
      </c>
      <c r="BI34" s="38" t="s">
        <v>1078</v>
      </c>
      <c r="BM34" s="38" t="s">
        <v>1079</v>
      </c>
      <c r="BQ34" s="38" t="s">
        <v>1080</v>
      </c>
      <c r="BU34" s="38" t="s">
        <v>1042</v>
      </c>
      <c r="BY34" s="38" t="s">
        <v>1081</v>
      </c>
      <c r="CC34" s="37" t="s">
        <v>1082</v>
      </c>
      <c r="CG34" s="37" t="s">
        <v>1083</v>
      </c>
      <c r="CK34" s="37" t="s">
        <v>1084</v>
      </c>
      <c r="CO34" s="38" t="s">
        <v>1085</v>
      </c>
      <c r="CS34" s="38" t="s">
        <v>1086</v>
      </c>
      <c r="CW34" s="38" t="s">
        <v>1087</v>
      </c>
      <c r="DA34" s="38" t="s">
        <v>1088</v>
      </c>
      <c r="DE34" s="38" t="s">
        <v>1089</v>
      </c>
      <c r="DI34" s="38" t="s">
        <v>1090</v>
      </c>
      <c r="DM34" s="38" t="s">
        <v>1091</v>
      </c>
      <c r="DQ34" s="38" t="s">
        <v>1092</v>
      </c>
      <c r="DU34" s="38" t="s">
        <v>1093</v>
      </c>
      <c r="DY34" s="37" t="s">
        <v>1094</v>
      </c>
      <c r="EC34" s="37" t="s">
        <v>1095</v>
      </c>
      <c r="EG34" s="37" t="s">
        <v>1096</v>
      </c>
      <c r="EK34" s="38" t="s">
        <v>1097</v>
      </c>
      <c r="EO34" s="38" t="s">
        <v>1098</v>
      </c>
      <c r="ES34" s="38" t="s">
        <v>1099</v>
      </c>
      <c r="EW34" s="38" t="s">
        <v>1100</v>
      </c>
      <c r="FA34" s="38" t="s">
        <v>1101</v>
      </c>
    </row>
    <row r="35" spans="1:160">
      <c r="B35">
        <f>ROUND(B27*0.5,0)</f>
        <v>435</v>
      </c>
      <c r="C35">
        <f>ROUND(C27*0.5,0)</f>
        <v>65</v>
      </c>
      <c r="D35">
        <f>ROUND(D27*0.5,0)</f>
        <v>1995</v>
      </c>
      <c r="F35">
        <f>ROUND(F27*0.5,0)</f>
        <v>303</v>
      </c>
      <c r="G35">
        <f>ROUND(G27*0.5,0)</f>
        <v>46</v>
      </c>
      <c r="H35">
        <f>ROUND(H27*0.5,0)</f>
        <v>1395</v>
      </c>
      <c r="J35">
        <f>ROUND(J27*0.5,0)</f>
        <v>1610</v>
      </c>
      <c r="K35">
        <f>ROUND(K27*0.5,0)</f>
        <v>242</v>
      </c>
      <c r="L35">
        <f>ROUND(L27*0.5,0)</f>
        <v>7406</v>
      </c>
      <c r="N35">
        <f>ROUND(N27*0.5,0)</f>
        <v>458</v>
      </c>
      <c r="O35">
        <f>ROUND(O27*0.5,0)</f>
        <v>69</v>
      </c>
      <c r="P35">
        <f>ROUND(P27*0.5,0)</f>
        <v>2102</v>
      </c>
      <c r="R35">
        <f>ROUND(R27*0.5,0)</f>
        <v>563</v>
      </c>
      <c r="S35">
        <f>ROUND(S27*0.5,0)</f>
        <v>85</v>
      </c>
      <c r="T35">
        <f>ROUND(T27*0.5,0)</f>
        <v>2591</v>
      </c>
      <c r="V35">
        <f>ROUND(V27*0.5,0)</f>
        <v>285</v>
      </c>
      <c r="W35">
        <f>ROUND(W27*0.5,0)</f>
        <v>43</v>
      </c>
      <c r="X35">
        <f>ROUND(X27*0.5,0)</f>
        <v>1305</v>
      </c>
      <c r="Z35">
        <f>ROUND(Z27*0.5,0)</f>
        <v>1502</v>
      </c>
      <c r="AA35">
        <f>ROUND(AA27*0.5,0)</f>
        <v>226</v>
      </c>
      <c r="AB35">
        <f>ROUND(AB27*0.5,0)</f>
        <v>6914</v>
      </c>
      <c r="AD35">
        <f>ROUND(AD27*0.5,0)</f>
        <v>458</v>
      </c>
      <c r="AE35">
        <f>ROUND(AE27*0.5,0)</f>
        <v>69</v>
      </c>
      <c r="AF35">
        <f>ROUND(AF27*0.5,0)</f>
        <v>2102</v>
      </c>
      <c r="AH35">
        <f>ROUND(AH27*0.5,0)</f>
        <v>505</v>
      </c>
      <c r="AI35">
        <f>ROUND(AI27*0.5,0)</f>
        <v>76</v>
      </c>
      <c r="AJ35">
        <f>ROUND(AJ27*0.5,0)</f>
        <v>2317</v>
      </c>
      <c r="AL35">
        <f>ROUND(AL27*0.5,0)</f>
        <v>285</v>
      </c>
      <c r="AM35">
        <f>ROUND(AM27*0.5,0)</f>
        <v>43</v>
      </c>
      <c r="AN35">
        <f>ROUND(AN27*0.5,0)</f>
        <v>1305</v>
      </c>
      <c r="AP35">
        <f>ROUND(AP27*0.5,0)</f>
        <v>1418</v>
      </c>
      <c r="AQ35">
        <f>ROUND(AQ27*0.5,0)</f>
        <v>213</v>
      </c>
      <c r="AR35">
        <f>ROUND(AR27*0.5,0)</f>
        <v>6518</v>
      </c>
      <c r="AT35">
        <f>ROUND(AT27*0.5,0)</f>
        <v>458</v>
      </c>
      <c r="AU35">
        <f>ROUND(AU27*0.5,0)</f>
        <v>69</v>
      </c>
      <c r="AV35">
        <f>ROUND(AV27*0.5,0)</f>
        <v>2102</v>
      </c>
      <c r="AX35">
        <f>ROUND(AX27*0.5,0)</f>
        <v>435</v>
      </c>
      <c r="AY35">
        <f>ROUND(AY27*0.5,0)</f>
        <v>66</v>
      </c>
      <c r="AZ35">
        <f>ROUND(AZ27*0.5,0)</f>
        <v>2007</v>
      </c>
      <c r="BB35">
        <f>ROUND(BB27*0.5,0)</f>
        <v>325</v>
      </c>
      <c r="BC35">
        <f>ROUND(BC27*0.5,0)</f>
        <v>49</v>
      </c>
      <c r="BD35">
        <f>ROUND(BD27*0.5,0)</f>
        <v>1489</v>
      </c>
      <c r="BF35">
        <f>ROUND(BF27*0.5,0)</f>
        <v>1635</v>
      </c>
      <c r="BG35">
        <f>ROUND(BG27*0.5,0)</f>
        <v>245</v>
      </c>
      <c r="BH35">
        <f>ROUND(BH27*0.5,0)</f>
        <v>7515</v>
      </c>
      <c r="BJ35">
        <f>ROUND(BJ27*0.5,0)</f>
        <v>458</v>
      </c>
      <c r="BK35">
        <f>ROUND(BK27*0.5,0)</f>
        <v>69</v>
      </c>
      <c r="BL35">
        <f>ROUND(BL27*0.5,0)</f>
        <v>2102</v>
      </c>
      <c r="BN35">
        <f>ROUND(BN27*0.5,0)</f>
        <v>320</v>
      </c>
      <c r="BO35">
        <f>ROUND(BO27*0.5,0)</f>
        <v>48</v>
      </c>
      <c r="BP35">
        <f>ROUND(BP27*0.5,0)</f>
        <v>1472</v>
      </c>
      <c r="BR35">
        <f>ROUND(BR27*0.5,0)</f>
        <v>382</v>
      </c>
      <c r="BS35">
        <f>ROUND(BS27*0.5,0)</f>
        <v>57</v>
      </c>
      <c r="BT35">
        <f>ROUND(BT27*0.5,0)</f>
        <v>1750</v>
      </c>
      <c r="BV35">
        <f>ROUND(BV27*0.5,0)</f>
        <v>1933</v>
      </c>
      <c r="BW35">
        <f>ROUND(BW27*0.5,0)</f>
        <v>290</v>
      </c>
      <c r="BX35">
        <f>ROUND(BX27*0.5,0)</f>
        <v>8893</v>
      </c>
      <c r="BZ35">
        <f>ROUND(BZ27*0.5,0)</f>
        <v>458</v>
      </c>
      <c r="CA35">
        <f>ROUND(CA27*0.5,0)</f>
        <v>69</v>
      </c>
      <c r="CB35">
        <f>ROUND(CB27*0.5,0)</f>
        <v>2102</v>
      </c>
      <c r="CD35">
        <f>ROUND(CD27*0.5,0)</f>
        <v>440</v>
      </c>
      <c r="CE35">
        <f>ROUND(CE27*0.5,0)</f>
        <v>66</v>
      </c>
      <c r="CF35">
        <f>ROUND(CF27*0.5,0)</f>
        <v>2024</v>
      </c>
      <c r="CH35">
        <f>ROUND(CH27*0.5,0)</f>
        <v>323</v>
      </c>
      <c r="CI35">
        <f>ROUND(CI27*0.5,0)</f>
        <v>49</v>
      </c>
      <c r="CJ35">
        <f>ROUND(CJ27*0.5,0)</f>
        <v>1487</v>
      </c>
      <c r="CL35">
        <f>ROUND(CL27*0.5,0)</f>
        <v>1630</v>
      </c>
      <c r="CM35">
        <f>ROUND(CM27*0.5,0)</f>
        <v>245</v>
      </c>
      <c r="CN35">
        <f>ROUND(CN27*0.5,0)</f>
        <v>7498</v>
      </c>
      <c r="CP35">
        <f>ROUND(CP27*0.5,0)</f>
        <v>458</v>
      </c>
      <c r="CQ35">
        <f>ROUND(CQ27*0.5,0)</f>
        <v>69</v>
      </c>
      <c r="CR35">
        <f>ROUND(CR27*0.5,0)</f>
        <v>2102</v>
      </c>
      <c r="CT35">
        <f>ROUND(CT27*0.5,0)</f>
        <v>409</v>
      </c>
      <c r="CU35">
        <f>ROUND(CU27*0.5,0)</f>
        <v>62</v>
      </c>
      <c r="CV35">
        <f>ROUND(CV27*0.5,0)</f>
        <v>1885</v>
      </c>
      <c r="CX35">
        <f>ROUND(CX27*0.5,0)</f>
        <v>323</v>
      </c>
      <c r="CY35">
        <f>ROUND(CY27*0.5,0)</f>
        <v>49</v>
      </c>
      <c r="CZ35">
        <f>ROUND(CZ27*0.5,0)</f>
        <v>1487</v>
      </c>
      <c r="DB35">
        <f>ROUND(DB27*0.5,0)</f>
        <v>1560</v>
      </c>
      <c r="DC35">
        <f>ROUND(DC27*0.5,0)</f>
        <v>234</v>
      </c>
      <c r="DD35">
        <f>ROUND(DD27*0.5,0)</f>
        <v>7176</v>
      </c>
      <c r="DF35">
        <f>ROUND(DF27*0.5,0)</f>
        <v>458</v>
      </c>
      <c r="DG35">
        <f>ROUND(DG27*0.5,0)</f>
        <v>69</v>
      </c>
      <c r="DH35">
        <f>ROUND(DH27*0.5,0)</f>
        <v>2102</v>
      </c>
      <c r="DJ35">
        <f>ROUND(DJ27*0.5,0)</f>
        <v>380</v>
      </c>
      <c r="DK35">
        <f>ROUND(DK27*0.5,0)</f>
        <v>57</v>
      </c>
      <c r="DL35">
        <f>ROUND(DL27*0.5,0)</f>
        <v>1748</v>
      </c>
      <c r="DN35">
        <f>ROUND(DN27*0.5,0)</f>
        <v>345</v>
      </c>
      <c r="DO35">
        <f>ROUND(DO27*0.5,0)</f>
        <v>52</v>
      </c>
      <c r="DP35">
        <f>ROUND(DP27*0.5,0)</f>
        <v>1593</v>
      </c>
      <c r="DR35">
        <f>ROUND(DR27*0.5,0)</f>
        <v>1965</v>
      </c>
      <c r="DS35">
        <f>ROUND(DS27*0.5,0)</f>
        <v>295</v>
      </c>
      <c r="DT35">
        <f>ROUND(DT27*0.5,0)</f>
        <v>9045</v>
      </c>
      <c r="DV35">
        <f>ROUND(DV27*0.5,0)</f>
        <v>458</v>
      </c>
      <c r="DW35">
        <f>ROUND(DW27*0.5,0)</f>
        <v>69</v>
      </c>
      <c r="DX35">
        <f>ROUND(DX27*0.5,0)</f>
        <v>2102</v>
      </c>
      <c r="DZ35">
        <f>ROUND(DZ27*0.5,0)</f>
        <v>440</v>
      </c>
      <c r="EA35">
        <f>ROUND(EA27*0.5,0)</f>
        <v>66</v>
      </c>
      <c r="EB35">
        <f>ROUND(EB27*0.5,0)</f>
        <v>2024</v>
      </c>
      <c r="ED35">
        <f>ROUND(ED27*0.5,0)</f>
        <v>360</v>
      </c>
      <c r="EE35">
        <f>ROUND(EE27*0.5,0)</f>
        <v>54</v>
      </c>
      <c r="EF35">
        <f>ROUND(EF27*0.5,0)</f>
        <v>1656</v>
      </c>
      <c r="EH35">
        <f>ROUND(EH27*0.5,0)</f>
        <v>1783</v>
      </c>
      <c r="EI35">
        <f>ROUND(EI27*0.5,0)</f>
        <v>268</v>
      </c>
      <c r="EJ35">
        <f>ROUND(EJ27*0.5,0)</f>
        <v>8203</v>
      </c>
      <c r="EL35">
        <f>ROUND(EL27*0.5,0)</f>
        <v>458</v>
      </c>
      <c r="EM35">
        <f>ROUND(EM27*0.5,0)</f>
        <v>69</v>
      </c>
      <c r="EN35">
        <f>ROUND(EN27*0.5,0)</f>
        <v>2102</v>
      </c>
      <c r="EP35">
        <f>ROUND(EP27*0.5,0)</f>
        <v>505</v>
      </c>
      <c r="EQ35">
        <f>ROUND(EQ27*0.5,0)</f>
        <v>76</v>
      </c>
      <c r="ER35">
        <f>ROUND(ER27*0.5,0)</f>
        <v>2329</v>
      </c>
      <c r="ET35">
        <f>ROUND(ET27*0.5,0)</f>
        <v>323</v>
      </c>
      <c r="EU35">
        <f>ROUND(EU27*0.5,0)</f>
        <v>49</v>
      </c>
      <c r="EV35">
        <f>ROUND(EV27*0.5,0)</f>
        <v>1487</v>
      </c>
      <c r="EX35">
        <f>ROUND(EX27*0.5,0)</f>
        <v>1630</v>
      </c>
      <c r="EY35">
        <f>ROUND(EY27*0.5,0)</f>
        <v>245</v>
      </c>
      <c r="EZ35">
        <f>ROUND(EZ27*0.5,0)</f>
        <v>7498</v>
      </c>
      <c r="FB35">
        <f>ROUND(FB27*0.5,0)</f>
        <v>458</v>
      </c>
      <c r="FC35">
        <f>ROUND(FC27*0.5,0)</f>
        <v>69</v>
      </c>
      <c r="FD35">
        <f>ROUND(FD27*0.5,0)</f>
        <v>2102</v>
      </c>
    </row>
    <row r="36" spans="1:160">
      <c r="D36">
        <v>4000</v>
      </c>
      <c r="H36">
        <f>463*辅助设计!Q44</f>
        <v>2800</v>
      </c>
      <c r="T36" s="6">
        <f>1229*辅助设计!N44</f>
        <v>5180.18967334036</v>
      </c>
      <c r="X36">
        <f>432*辅助设计!Q44</f>
        <v>2612.52699784017</v>
      </c>
      <c r="AJ36">
        <f>1101*辅助设计!N44</f>
        <v>4640.67439409905</v>
      </c>
      <c r="AN36">
        <f>432*辅助设计!Q44</f>
        <v>2612.52699784017</v>
      </c>
      <c r="AZ36">
        <f>949*辅助设计!N44</f>
        <v>4000</v>
      </c>
      <c r="BD36">
        <f>493*辅助设计!Q44</f>
        <v>2981.42548596112</v>
      </c>
      <c r="BP36">
        <f>702*辅助设计!N44</f>
        <v>2958.90410958904</v>
      </c>
      <c r="BT36">
        <f>580*辅助设计!Q44</f>
        <v>3507.55939524838</v>
      </c>
      <c r="CF36">
        <f>949*辅助设计!N44</f>
        <v>4000</v>
      </c>
      <c r="CJ36">
        <f>493*辅助设计!Q44</f>
        <v>2981.42548596112</v>
      </c>
      <c r="CV36">
        <f>892*辅助设计!N44</f>
        <v>3759.74710221286</v>
      </c>
      <c r="CZ36">
        <f>493*辅助设计!Q44</f>
        <v>2981.42548596112</v>
      </c>
      <c r="DL36">
        <f>831*辅助设计!N44</f>
        <v>3502.63435194942</v>
      </c>
      <c r="DP36">
        <f>524*辅助设计!Q44</f>
        <v>3168.89848812095</v>
      </c>
      <c r="EB36">
        <f>949*辅助设计!N44</f>
        <v>4000</v>
      </c>
      <c r="EF36">
        <f>549*辅助设计!Q44</f>
        <v>3320.08639308855</v>
      </c>
      <c r="ER36">
        <f>1104*辅助设计!N44</f>
        <v>4653.31928345627</v>
      </c>
      <c r="EV36">
        <f>493*辅助设计!Q44</f>
        <v>2981.42548596112</v>
      </c>
    </row>
  </sheetData>
  <mergeCells count="200">
    <mergeCell ref="A1:D1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  <mergeCell ref="DY1:EB1"/>
    <mergeCell ref="EC1:EF1"/>
    <mergeCell ref="EG1:EJ1"/>
    <mergeCell ref="EK1:EN1"/>
    <mergeCell ref="EO1:ER1"/>
    <mergeCell ref="ES1:EV1"/>
    <mergeCell ref="EW1:EZ1"/>
    <mergeCell ref="FA1:FD1"/>
    <mergeCell ref="A28:D28"/>
    <mergeCell ref="E28:H28"/>
    <mergeCell ref="I28:L28"/>
    <mergeCell ref="M28:P28"/>
    <mergeCell ref="Q28:T28"/>
    <mergeCell ref="U28:X28"/>
    <mergeCell ref="Y28:AB28"/>
    <mergeCell ref="AC28:AF28"/>
    <mergeCell ref="AG28:AJ28"/>
    <mergeCell ref="AK28:AN28"/>
    <mergeCell ref="AO28:AR28"/>
    <mergeCell ref="AS28:AV28"/>
    <mergeCell ref="AW28:AZ28"/>
    <mergeCell ref="BA28:BD28"/>
    <mergeCell ref="BE28:BH28"/>
    <mergeCell ref="BI28:BL28"/>
    <mergeCell ref="BM28:BP28"/>
    <mergeCell ref="BQ28:BT28"/>
    <mergeCell ref="BU28:BX28"/>
    <mergeCell ref="BY28:CB28"/>
    <mergeCell ref="CC28:CF28"/>
    <mergeCell ref="CG28:CJ28"/>
    <mergeCell ref="CK28:CN28"/>
    <mergeCell ref="CO28:CR28"/>
    <mergeCell ref="CS28:CV28"/>
    <mergeCell ref="CW28:CZ28"/>
    <mergeCell ref="DA28:DD28"/>
    <mergeCell ref="DE28:DH28"/>
    <mergeCell ref="DI28:DL28"/>
    <mergeCell ref="DM28:DP28"/>
    <mergeCell ref="DQ28:DT28"/>
    <mergeCell ref="DU28:DX28"/>
    <mergeCell ref="DY28:EB28"/>
    <mergeCell ref="EC28:EF28"/>
    <mergeCell ref="EG28:EJ28"/>
    <mergeCell ref="EK28:EN28"/>
    <mergeCell ref="EO28:ER28"/>
    <mergeCell ref="ES28:EV28"/>
    <mergeCell ref="EW28:EZ28"/>
    <mergeCell ref="FA28:FD28"/>
    <mergeCell ref="A30:D30"/>
    <mergeCell ref="E30:H30"/>
    <mergeCell ref="I30:L30"/>
    <mergeCell ref="M30:P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AW30:AZ30"/>
    <mergeCell ref="BA30:BD30"/>
    <mergeCell ref="BE30:BH30"/>
    <mergeCell ref="BI30:BL30"/>
    <mergeCell ref="BM30:BP30"/>
    <mergeCell ref="BQ30:BT30"/>
    <mergeCell ref="BU30:BX30"/>
    <mergeCell ref="BY30:CB30"/>
    <mergeCell ref="CC30:CF30"/>
    <mergeCell ref="CG30:CJ30"/>
    <mergeCell ref="CK30:CN30"/>
    <mergeCell ref="CO30:CR30"/>
    <mergeCell ref="CS30:CV30"/>
    <mergeCell ref="CW30:CZ30"/>
    <mergeCell ref="DA30:DD30"/>
    <mergeCell ref="DE30:DH30"/>
    <mergeCell ref="DI30:DL30"/>
    <mergeCell ref="DM30:DP30"/>
    <mergeCell ref="DQ30:DT30"/>
    <mergeCell ref="DU30:DX30"/>
    <mergeCell ref="DY30:EB30"/>
    <mergeCell ref="EC30:EF30"/>
    <mergeCell ref="EG30:EJ30"/>
    <mergeCell ref="EK30:EN30"/>
    <mergeCell ref="EO30:ER30"/>
    <mergeCell ref="ES30:EV30"/>
    <mergeCell ref="EW30:EZ30"/>
    <mergeCell ref="FA30:FD30"/>
    <mergeCell ref="A32:D32"/>
    <mergeCell ref="E32:H32"/>
    <mergeCell ref="I32:L32"/>
    <mergeCell ref="M32:P32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W32:AZ32"/>
    <mergeCell ref="BA32:BD32"/>
    <mergeCell ref="BE32:BH32"/>
    <mergeCell ref="BI32:BL32"/>
    <mergeCell ref="BM32:BP32"/>
    <mergeCell ref="BQ32:BT32"/>
    <mergeCell ref="BU32:BX32"/>
    <mergeCell ref="BY32:CB32"/>
    <mergeCell ref="CC32:CF32"/>
    <mergeCell ref="CG32:CJ32"/>
    <mergeCell ref="CK32:CN32"/>
    <mergeCell ref="CO32:CR32"/>
    <mergeCell ref="CS32:CV32"/>
    <mergeCell ref="CW32:CZ32"/>
    <mergeCell ref="DA32:DD32"/>
    <mergeCell ref="DE32:DH32"/>
    <mergeCell ref="DI32:DL32"/>
    <mergeCell ref="DM32:DP32"/>
    <mergeCell ref="DQ32:DT32"/>
    <mergeCell ref="DU32:DX32"/>
    <mergeCell ref="DY32:EB32"/>
    <mergeCell ref="EC32:EF32"/>
    <mergeCell ref="EG32:EJ32"/>
    <mergeCell ref="EK32:EN32"/>
    <mergeCell ref="EO32:ER32"/>
    <mergeCell ref="ES32:EV32"/>
    <mergeCell ref="EW32:EZ32"/>
    <mergeCell ref="FA32:FD32"/>
    <mergeCell ref="A34:D34"/>
    <mergeCell ref="E34:H34"/>
    <mergeCell ref="I34:L34"/>
    <mergeCell ref="M34:P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AW34:AZ34"/>
    <mergeCell ref="BA34:BD34"/>
    <mergeCell ref="BE34:BH34"/>
    <mergeCell ref="BI34:BL34"/>
    <mergeCell ref="BM34:BP34"/>
    <mergeCell ref="BQ34:BT34"/>
    <mergeCell ref="BU34:BX34"/>
    <mergeCell ref="BY34:CB34"/>
    <mergeCell ref="CC34:CF34"/>
    <mergeCell ref="CG34:CJ34"/>
    <mergeCell ref="CK34:CN34"/>
    <mergeCell ref="CO34:CR34"/>
    <mergeCell ref="CS34:CV34"/>
    <mergeCell ref="CW34:CZ34"/>
    <mergeCell ref="DA34:DD34"/>
    <mergeCell ref="DE34:DH34"/>
    <mergeCell ref="DI34:DL34"/>
    <mergeCell ref="DM34:DP34"/>
    <mergeCell ref="DQ34:DT34"/>
    <mergeCell ref="DU34:DX34"/>
    <mergeCell ref="DY34:EB34"/>
    <mergeCell ref="EC34:EF34"/>
    <mergeCell ref="EG34:EJ34"/>
    <mergeCell ref="EK34:EN34"/>
    <mergeCell ref="EO34:ER34"/>
    <mergeCell ref="ES34:EV34"/>
    <mergeCell ref="EW34:EZ34"/>
    <mergeCell ref="FA34:FD3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"/>
  <sheetViews>
    <sheetView workbookViewId="0">
      <selection activeCell="D6" sqref="D6"/>
    </sheetView>
  </sheetViews>
  <sheetFormatPr defaultColWidth="9" defaultRowHeight="13.5" outlineLevelRow="5" outlineLevelCol="3"/>
  <cols>
    <col min="2" max="2" width="17.5" style="2" customWidth="1"/>
  </cols>
  <sheetData>
    <row r="2" spans="1:4">
      <c r="A2" t="s">
        <v>1102</v>
      </c>
      <c r="B2" t="s">
        <v>1103</v>
      </c>
      <c r="C2" t="s">
        <v>1104</v>
      </c>
      <c r="D2">
        <v>2</v>
      </c>
    </row>
    <row r="3" spans="1:4">
      <c r="A3" t="s">
        <v>1105</v>
      </c>
      <c r="B3" t="s">
        <v>1106</v>
      </c>
      <c r="D3">
        <v>1</v>
      </c>
    </row>
    <row r="4" spans="1:4">
      <c r="A4" t="s">
        <v>1107</v>
      </c>
      <c r="B4" t="s">
        <v>1108</v>
      </c>
      <c r="C4" t="s">
        <v>1109</v>
      </c>
      <c r="D4">
        <v>1</v>
      </c>
    </row>
    <row r="5" spans="1:4">
      <c r="A5" t="s">
        <v>1110</v>
      </c>
      <c r="B5" t="s">
        <v>1111</v>
      </c>
      <c r="D5">
        <v>0</v>
      </c>
    </row>
    <row r="6" spans="1:4">
      <c r="D6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F3" sqref="A3:F3"/>
    </sheetView>
  </sheetViews>
  <sheetFormatPr defaultColWidth="9" defaultRowHeight="13.5"/>
  <cols>
    <col min="1" max="1" width="22.75" style="7" customWidth="1"/>
    <col min="2" max="2" width="21" style="7" customWidth="1"/>
    <col min="3" max="3" width="20" style="7" customWidth="1"/>
    <col min="4" max="4" width="13.25" style="7" customWidth="1"/>
    <col min="5" max="5" width="9" style="7" customWidth="1"/>
    <col min="6" max="6" width="15.375" style="7" customWidth="1"/>
    <col min="7" max="7" width="11.625" style="7" customWidth="1"/>
    <col min="8" max="8" width="12.875" style="7" customWidth="1"/>
    <col min="9" max="9" width="13" style="7" customWidth="1"/>
    <col min="10" max="16384" width="9" style="7" customWidth="1"/>
  </cols>
  <sheetData>
    <row r="1" spans="1:16">
      <c r="B1" s="25" t="s">
        <v>1112</v>
      </c>
      <c r="E1" s="26" t="s">
        <v>1113</v>
      </c>
      <c r="H1" s="27" t="s">
        <v>1114</v>
      </c>
      <c r="K1" s="28" t="s">
        <v>1115</v>
      </c>
      <c r="N1" s="29" t="s">
        <v>1116</v>
      </c>
    </row>
    <row r="2" ht="27" customHeight="1" spans="1:16">
      <c r="A2" s="7" t="s">
        <v>1117</v>
      </c>
      <c r="B2" s="30" t="s">
        <v>1022</v>
      </c>
      <c r="C2" s="30" t="s">
        <v>1118</v>
      </c>
      <c r="D2" s="30"/>
      <c r="E2" s="31" t="s">
        <v>1022</v>
      </c>
      <c r="F2" s="31" t="s">
        <v>1118</v>
      </c>
      <c r="G2" s="31"/>
      <c r="H2" s="32" t="s">
        <v>1022</v>
      </c>
      <c r="I2" s="32" t="s">
        <v>1118</v>
      </c>
      <c r="J2" s="32"/>
      <c r="K2" s="33" t="s">
        <v>1022</v>
      </c>
      <c r="L2" s="33" t="s">
        <v>1118</v>
      </c>
      <c r="M2" s="33"/>
      <c r="N2" s="34" t="s">
        <v>1022</v>
      </c>
      <c r="O2" s="34" t="s">
        <v>1118</v>
      </c>
      <c r="P2" s="34"/>
    </row>
    <row r="3" ht="157.5" customHeight="1" spans="1:16">
      <c r="A3" s="7">
        <v>10004</v>
      </c>
      <c r="B3" s="7">
        <v>111.111111111111</v>
      </c>
      <c r="C3" s="8">
        <v>63</v>
      </c>
      <c r="D3" s="30" t="str">
        <f>$A$3&amp;"|"&amp;C3&amp;"$"&amp;$A$4&amp;"|"&amp;C4&amp;"$"&amp;$A$5&amp;"|"&amp;C5&amp;"$"&amp;$A$6&amp;"|"&amp;C6&amp;"$"&amp;$A$7&amp;"|"&amp;C7&amp;"$"&amp;$A$8&amp;"|"&amp;C8</f>
        <v>10004|63$10001|325$10005|5$10006|10$10002|6$10008|25</v>
      </c>
      <c r="E3" s="7">
        <v>133.333333333333</v>
      </c>
      <c r="F3" s="7">
        <v>105</v>
      </c>
      <c r="G3" s="31" t="str">
        <f>$A$3&amp;"|"&amp;F3&amp;"$"&amp;$A$4&amp;"|"&amp;F4&amp;"$"&amp;$A$5&amp;"|"&amp;F5&amp;"$"&amp;$A$6&amp;"|"&amp;F6&amp;"$"&amp;$A$7&amp;"|"&amp;F7&amp;"$"&amp;$A$8&amp;"|"&amp;F8</f>
        <v>10004|105$10001|527$10005|10$10006|20$10002|12$10008|31</v>
      </c>
      <c r="H3" s="7">
        <v>155.555555555556</v>
      </c>
      <c r="I3" s="7">
        <v>144</v>
      </c>
      <c r="J3" s="32" t="str">
        <f>$A$3&amp;"|"&amp;I3&amp;"$"&amp;$A$4&amp;"|"&amp;I4&amp;"$"&amp;$A$5&amp;"|"&amp;I5&amp;"$"&amp;$A$6&amp;"|"&amp;I6&amp;"$"&amp;$A$7&amp;"|"&amp;I7&amp;"$"&amp;$A$8&amp;"|"&amp;I8</f>
        <v>10004|144$10001|726$10005|15$10006|30$10002|18$10008|39</v>
      </c>
      <c r="K3" s="7">
        <v>177.777777777778</v>
      </c>
      <c r="L3" s="7">
        <v>185</v>
      </c>
      <c r="M3" s="33" t="str">
        <f>$A$3&amp;"|"&amp;L3&amp;"$"&amp;$A$4&amp;"|"&amp;L4&amp;"$"&amp;$A$5&amp;"|"&amp;L5&amp;"$"&amp;$A$6&amp;"|"&amp;L6&amp;"$"&amp;$A$7&amp;"|"&amp;L7&amp;$A$8&amp;"|"&amp;L8</f>
        <v>10004|185$10001|927$10005|20$10006|40$10002|2510008|48</v>
      </c>
      <c r="N3" s="7">
        <v>200</v>
      </c>
      <c r="O3" s="7">
        <v>223</v>
      </c>
      <c r="P3" s="34" t="str">
        <f>$A$3&amp;"|"&amp;O3&amp;"$"&amp;$A$4&amp;"|"&amp;O4&amp;"$"&amp;$A$5&amp;"|"&amp;O5&amp;"$"&amp;$A$6&amp;"|"&amp;O6&amp;"$"&amp;$A$7&amp;"|"&amp;O7&amp;$A$8&amp;"|"&amp;O8</f>
        <v>10004|223$10001|1125$10005|24$10006|48$10002|3210008|61</v>
      </c>
    </row>
    <row r="4" spans="1:16">
      <c r="A4" s="7">
        <v>10001</v>
      </c>
      <c r="B4" s="7">
        <v>117.777777777778</v>
      </c>
      <c r="C4" s="8">
        <v>325</v>
      </c>
      <c r="D4" s="30"/>
      <c r="E4" s="7">
        <v>146.111111111111</v>
      </c>
      <c r="F4" s="7">
        <v>527</v>
      </c>
      <c r="G4" s="31"/>
      <c r="H4" s="7">
        <v>174.277777777778</v>
      </c>
      <c r="I4" s="7">
        <v>726</v>
      </c>
      <c r="J4" s="32"/>
      <c r="K4" s="7">
        <v>202.555555555556</v>
      </c>
      <c r="L4" s="7">
        <v>927</v>
      </c>
      <c r="M4" s="33"/>
      <c r="N4" s="7">
        <v>230.777777777778</v>
      </c>
      <c r="O4" s="7">
        <v>1125</v>
      </c>
      <c r="P4" s="34"/>
    </row>
    <row r="5" spans="1:16">
      <c r="A5" s="7">
        <v>10005</v>
      </c>
      <c r="B5" s="7">
        <v>124.444444444444</v>
      </c>
      <c r="C5" s="8">
        <v>5</v>
      </c>
      <c r="D5" s="30"/>
      <c r="E5" s="7">
        <v>158.888888888889</v>
      </c>
      <c r="F5" s="7">
        <v>10</v>
      </c>
      <c r="G5" s="31"/>
      <c r="H5" s="7">
        <v>193</v>
      </c>
      <c r="I5" s="7">
        <v>15</v>
      </c>
      <c r="J5" s="32"/>
      <c r="K5" s="7">
        <v>227.333333333333</v>
      </c>
      <c r="L5" s="7">
        <v>20</v>
      </c>
      <c r="M5" s="33"/>
      <c r="N5" s="7">
        <v>261.555555555556</v>
      </c>
      <c r="O5" s="7">
        <v>24</v>
      </c>
      <c r="P5" s="34"/>
    </row>
    <row r="6" spans="1:16">
      <c r="A6" s="7">
        <v>10006</v>
      </c>
      <c r="B6" s="7">
        <v>131.111111111111</v>
      </c>
      <c r="C6" s="8">
        <v>10</v>
      </c>
      <c r="D6" s="30"/>
      <c r="E6" s="7">
        <v>171.666666666667</v>
      </c>
      <c r="F6" s="7">
        <v>20</v>
      </c>
      <c r="G6" s="31"/>
      <c r="H6" s="7">
        <v>211.722222222222</v>
      </c>
      <c r="I6" s="7">
        <v>30</v>
      </c>
      <c r="J6" s="32"/>
      <c r="K6" s="7">
        <v>252.111111111111</v>
      </c>
      <c r="L6" s="7">
        <v>40</v>
      </c>
      <c r="M6" s="33"/>
      <c r="N6" s="7">
        <v>292.333333333333</v>
      </c>
      <c r="O6" s="7">
        <v>48</v>
      </c>
      <c r="P6" s="34"/>
    </row>
    <row r="7" spans="1:16">
      <c r="A7" s="7">
        <v>10002</v>
      </c>
      <c r="B7" s="7">
        <v>137.777777777778</v>
      </c>
      <c r="C7" s="8">
        <v>6</v>
      </c>
      <c r="D7" s="30"/>
      <c r="E7" s="7">
        <v>184.444444444444</v>
      </c>
      <c r="F7" s="7">
        <v>12</v>
      </c>
      <c r="G7" s="31"/>
      <c r="H7" s="7">
        <v>230.444444444444</v>
      </c>
      <c r="I7" s="7">
        <v>18</v>
      </c>
      <c r="J7" s="32"/>
      <c r="K7" s="7">
        <v>276.888888888889</v>
      </c>
      <c r="L7" s="7">
        <v>25</v>
      </c>
      <c r="M7" s="33"/>
      <c r="N7" s="7">
        <v>323.111111111111</v>
      </c>
      <c r="O7" s="7">
        <v>32</v>
      </c>
      <c r="P7" s="34"/>
    </row>
    <row r="8" spans="1:16">
      <c r="A8" s="7">
        <v>10008</v>
      </c>
      <c r="B8" s="7">
        <v>144.444444444444</v>
      </c>
      <c r="C8" s="30">
        <v>25</v>
      </c>
      <c r="D8" s="30"/>
      <c r="E8" s="7">
        <v>197.222222222222</v>
      </c>
      <c r="F8" s="31">
        <v>31</v>
      </c>
      <c r="G8" s="31"/>
      <c r="H8" s="7">
        <v>249.166666666667</v>
      </c>
      <c r="I8" s="32">
        <v>39</v>
      </c>
      <c r="J8" s="32"/>
      <c r="K8" s="7">
        <v>301.666666666667</v>
      </c>
      <c r="L8" s="33">
        <v>48</v>
      </c>
      <c r="M8" s="33"/>
      <c r="N8" s="7">
        <v>353.888888888889</v>
      </c>
      <c r="O8" s="34">
        <v>61</v>
      </c>
      <c r="P8" s="34"/>
    </row>
    <row r="9" spans="1:16">
      <c r="B9" s="7">
        <v>151.111111111111</v>
      </c>
      <c r="C9" s="30"/>
      <c r="D9" s="30"/>
      <c r="E9" s="7">
        <v>210</v>
      </c>
      <c r="F9" s="31"/>
      <c r="G9" s="31"/>
      <c r="H9" s="7">
        <v>267.888888888889</v>
      </c>
      <c r="I9" s="32"/>
      <c r="J9" s="32"/>
      <c r="K9" s="7">
        <v>326.444444444444</v>
      </c>
      <c r="L9" s="33"/>
      <c r="M9" s="33"/>
      <c r="N9" s="7">
        <v>384.666666666667</v>
      </c>
      <c r="O9" s="34"/>
      <c r="P9" s="34"/>
    </row>
    <row r="10" spans="1:16">
      <c r="B10" s="7">
        <v>157.777777777778</v>
      </c>
      <c r="C10" s="30"/>
      <c r="D10" s="30"/>
      <c r="E10" s="7">
        <v>222.777777777778</v>
      </c>
      <c r="F10" s="31"/>
      <c r="G10" s="31"/>
      <c r="H10" s="7">
        <v>286.611111111111</v>
      </c>
      <c r="I10" s="32"/>
      <c r="J10" s="32"/>
      <c r="K10" s="7">
        <v>351.222222222222</v>
      </c>
      <c r="L10" s="33"/>
      <c r="M10" s="33"/>
      <c r="N10" s="7">
        <v>415.444444444444</v>
      </c>
      <c r="O10" s="34"/>
      <c r="P10" s="34"/>
    </row>
    <row r="11" spans="1:16">
      <c r="B11" s="7">
        <v>164.444444444444</v>
      </c>
      <c r="C11" s="30"/>
      <c r="D11" s="30"/>
      <c r="E11" s="7">
        <v>235.555555555556</v>
      </c>
      <c r="F11" s="31"/>
      <c r="G11" s="31"/>
      <c r="H11" s="7">
        <v>305.333333333333</v>
      </c>
      <c r="I11" s="32"/>
      <c r="J11" s="32"/>
      <c r="K11" s="7">
        <v>376</v>
      </c>
      <c r="L11" s="33"/>
      <c r="M11" s="33"/>
      <c r="N11" s="7">
        <v>446.222222222222</v>
      </c>
      <c r="O11" s="34"/>
      <c r="P11" s="34"/>
    </row>
    <row r="12" spans="1:16">
      <c r="B12" s="7">
        <v>171.111111111111</v>
      </c>
      <c r="C12" s="30"/>
      <c r="D12" s="30"/>
      <c r="E12" s="7">
        <v>248.333333333333</v>
      </c>
      <c r="F12" s="31"/>
      <c r="G12" s="31"/>
      <c r="H12" s="7">
        <v>324.055555555556</v>
      </c>
      <c r="I12" s="32"/>
      <c r="J12" s="32"/>
      <c r="K12" s="7">
        <v>400.777777777778</v>
      </c>
      <c r="L12" s="33"/>
      <c r="M12" s="33"/>
      <c r="N12" s="7">
        <v>477</v>
      </c>
      <c r="O12" s="34"/>
      <c r="P12" s="34"/>
    </row>
    <row r="13" spans="1:16">
      <c r="B13" s="7">
        <v>177.777777777778</v>
      </c>
      <c r="C13" s="30"/>
      <c r="D13" s="30"/>
      <c r="E13" s="7">
        <v>261.111111111111</v>
      </c>
      <c r="F13" s="31"/>
      <c r="G13" s="31"/>
      <c r="H13" s="7">
        <v>342.777777777778</v>
      </c>
      <c r="I13" s="32"/>
      <c r="J13" s="32"/>
      <c r="K13" s="7">
        <v>425.555555555556</v>
      </c>
      <c r="L13" s="33"/>
      <c r="M13" s="33"/>
      <c r="N13" s="7">
        <v>507.777777777778</v>
      </c>
      <c r="O13" s="34"/>
      <c r="P13" s="34"/>
    </row>
    <row r="14" spans="1:16">
      <c r="B14" s="7">
        <v>184.444444444444</v>
      </c>
      <c r="C14" s="30"/>
      <c r="D14" s="30"/>
      <c r="E14" s="7">
        <v>273.888888888889</v>
      </c>
      <c r="F14" s="31"/>
      <c r="G14" s="31"/>
      <c r="H14" s="7">
        <v>361.5</v>
      </c>
      <c r="I14" s="32"/>
      <c r="J14" s="32"/>
      <c r="K14" s="7">
        <v>450.333333333333</v>
      </c>
      <c r="L14" s="33"/>
      <c r="M14" s="33"/>
      <c r="N14" s="7">
        <v>538.555555555556</v>
      </c>
      <c r="O14" s="34"/>
      <c r="P14" s="34"/>
    </row>
    <row r="15" spans="1:16">
      <c r="B15" s="7">
        <v>191.111111111111</v>
      </c>
      <c r="C15" s="30"/>
      <c r="D15" s="30"/>
      <c r="E15" s="7">
        <v>286.666666666667</v>
      </c>
      <c r="F15" s="31"/>
      <c r="G15" s="31"/>
      <c r="H15" s="7">
        <v>380.222222222222</v>
      </c>
      <c r="I15" s="32"/>
      <c r="J15" s="32"/>
      <c r="K15" s="7">
        <v>475.111111111111</v>
      </c>
      <c r="L15" s="33"/>
      <c r="M15" s="33"/>
      <c r="N15" s="7">
        <v>569.333333333333</v>
      </c>
      <c r="O15" s="34"/>
      <c r="P15" s="34"/>
    </row>
    <row r="16" spans="1:16">
      <c r="B16" s="7">
        <v>197.777777777778</v>
      </c>
      <c r="C16" s="30"/>
      <c r="D16" s="30"/>
      <c r="E16" s="7">
        <v>299.444444444444</v>
      </c>
      <c r="F16" s="31"/>
      <c r="G16" s="31"/>
      <c r="H16" s="7">
        <v>398.944444444444</v>
      </c>
      <c r="I16" s="32"/>
      <c r="J16" s="32"/>
      <c r="K16" s="7">
        <v>499.888888888889</v>
      </c>
      <c r="L16" s="33"/>
      <c r="M16" s="33"/>
      <c r="N16" s="7">
        <v>600.111111111111</v>
      </c>
      <c r="O16" s="34"/>
      <c r="P16" s="34"/>
    </row>
    <row r="17" spans="1:16">
      <c r="B17" s="7">
        <v>204.444444444444</v>
      </c>
      <c r="C17" s="30"/>
      <c r="D17" s="30"/>
      <c r="E17" s="7">
        <v>312.222222222222</v>
      </c>
      <c r="F17" s="31"/>
      <c r="G17" s="31"/>
      <c r="H17" s="7">
        <v>417.666666666667</v>
      </c>
      <c r="I17" s="32"/>
      <c r="J17" s="32"/>
      <c r="K17" s="7">
        <v>524.666666666667</v>
      </c>
      <c r="L17" s="33"/>
      <c r="M17" s="33"/>
      <c r="N17" s="7">
        <v>630.888888888889</v>
      </c>
      <c r="O17" s="34"/>
      <c r="P17" s="34"/>
    </row>
    <row r="18" spans="1:16">
      <c r="B18" s="7">
        <v>211.111111111111</v>
      </c>
      <c r="C18" s="30"/>
      <c r="D18" s="30"/>
      <c r="E18" s="7">
        <v>325</v>
      </c>
      <c r="F18" s="31"/>
      <c r="G18" s="31"/>
      <c r="H18" s="7">
        <v>436.388888888889</v>
      </c>
      <c r="I18" s="32"/>
      <c r="J18" s="32"/>
      <c r="K18" s="7">
        <v>549.444444444444</v>
      </c>
      <c r="L18" s="33"/>
      <c r="M18" s="33"/>
      <c r="N18" s="7">
        <v>661.666666666667</v>
      </c>
      <c r="O18" s="34"/>
      <c r="P18" s="34"/>
    </row>
    <row r="19" spans="1:16">
      <c r="B19" s="7">
        <v>217.777777777778</v>
      </c>
      <c r="C19" s="30"/>
      <c r="D19" s="30"/>
      <c r="E19" s="7">
        <v>337.777777777778</v>
      </c>
      <c r="F19" s="31"/>
      <c r="G19" s="31"/>
      <c r="H19" s="7">
        <v>455.111111111111</v>
      </c>
      <c r="I19" s="32"/>
      <c r="J19" s="32"/>
      <c r="K19" s="7">
        <v>574.222222222222</v>
      </c>
      <c r="L19" s="33"/>
      <c r="M19" s="33"/>
      <c r="N19" s="7">
        <v>692.444444444444</v>
      </c>
      <c r="O19" s="34"/>
      <c r="P19" s="34"/>
    </row>
    <row r="20" spans="1:16">
      <c r="B20" s="7">
        <v>224.444444444444</v>
      </c>
      <c r="C20" s="30"/>
      <c r="D20" s="30"/>
      <c r="E20" s="7">
        <v>350.555555555556</v>
      </c>
      <c r="F20" s="31"/>
      <c r="G20" s="31"/>
      <c r="H20" s="7">
        <v>473.833333333333</v>
      </c>
      <c r="I20" s="32"/>
      <c r="J20" s="32"/>
      <c r="K20" s="7">
        <v>599</v>
      </c>
      <c r="L20" s="33"/>
      <c r="M20" s="33"/>
      <c r="N20" s="7">
        <v>723.222222222222</v>
      </c>
      <c r="O20" s="34"/>
      <c r="P20" s="34"/>
    </row>
    <row r="21" spans="1:16">
      <c r="B21" s="7">
        <v>231.111111111111</v>
      </c>
      <c r="C21" s="30"/>
      <c r="D21" s="30"/>
      <c r="E21" s="7">
        <v>363.333333333333</v>
      </c>
      <c r="F21" s="31"/>
      <c r="G21" s="31"/>
      <c r="H21" s="7">
        <v>492.555555555556</v>
      </c>
      <c r="I21" s="32"/>
      <c r="J21" s="32"/>
      <c r="K21" s="7">
        <v>623.777777777778</v>
      </c>
      <c r="L21" s="33"/>
      <c r="M21" s="33"/>
      <c r="N21" s="7">
        <v>754</v>
      </c>
      <c r="O21" s="34"/>
      <c r="P21" s="34"/>
    </row>
    <row r="22" spans="1:16">
      <c r="B22" s="7">
        <v>237.777777777778</v>
      </c>
      <c r="C22" s="30"/>
      <c r="D22" s="30"/>
      <c r="E22" s="7">
        <v>376.111111111111</v>
      </c>
      <c r="F22" s="31"/>
      <c r="G22" s="31"/>
      <c r="H22" s="7">
        <v>511.277777777778</v>
      </c>
      <c r="I22" s="32"/>
      <c r="J22" s="32"/>
      <c r="K22" s="7">
        <v>648.555555555556</v>
      </c>
      <c r="L22" s="33"/>
      <c r="M22" s="33"/>
      <c r="N22" s="7">
        <v>784.777777777778</v>
      </c>
      <c r="O22" s="34"/>
      <c r="P22" s="34"/>
    </row>
    <row r="23" spans="1:16">
      <c r="B23" s="7">
        <v>244.444444444444</v>
      </c>
      <c r="C23" s="30"/>
      <c r="D23" s="30"/>
      <c r="E23" s="7">
        <v>388.888888888889</v>
      </c>
      <c r="F23" s="31"/>
      <c r="G23" s="31"/>
      <c r="H23" s="7">
        <v>530</v>
      </c>
      <c r="I23" s="32"/>
      <c r="J23" s="32"/>
      <c r="K23" s="7">
        <v>673.333333333333</v>
      </c>
      <c r="L23" s="33"/>
      <c r="M23" s="33"/>
      <c r="N23" s="7">
        <v>815.555555555556</v>
      </c>
      <c r="O23" s="34"/>
      <c r="P23" s="34"/>
    </row>
    <row r="24" spans="1:16">
      <c r="B24" s="7">
        <v>251.111111111111</v>
      </c>
      <c r="C24" s="30"/>
      <c r="D24" s="30"/>
      <c r="E24" s="7">
        <v>401.666666666667</v>
      </c>
      <c r="F24" s="31"/>
      <c r="G24" s="31"/>
      <c r="H24" s="7">
        <v>548.722222222222</v>
      </c>
      <c r="I24" s="32"/>
      <c r="J24" s="32"/>
      <c r="K24" s="7">
        <v>698.111111111111</v>
      </c>
      <c r="L24" s="33"/>
      <c r="M24" s="33"/>
      <c r="N24" s="7">
        <v>846.333333333333</v>
      </c>
      <c r="O24" s="34"/>
      <c r="P24" s="34"/>
    </row>
    <row r="25" spans="1:16">
      <c r="B25" s="7">
        <v>257.777777777778</v>
      </c>
      <c r="C25" s="30"/>
      <c r="D25" s="30"/>
      <c r="E25" s="7">
        <v>414.444444444444</v>
      </c>
      <c r="F25" s="31"/>
      <c r="G25" s="31"/>
      <c r="H25" s="7">
        <v>567.444444444444</v>
      </c>
      <c r="I25" s="32"/>
      <c r="J25" s="32"/>
      <c r="K25" s="7">
        <v>722.888888888889</v>
      </c>
      <c r="L25" s="33"/>
      <c r="M25" s="33"/>
      <c r="N25" s="7">
        <v>877.111111111111</v>
      </c>
      <c r="O25" s="34"/>
      <c r="P25" s="34"/>
    </row>
    <row r="26" spans="1:16">
      <c r="B26" s="7">
        <v>264.444444444444</v>
      </c>
      <c r="C26" s="30"/>
      <c r="D26" s="30"/>
      <c r="E26" s="7">
        <v>427.222222222222</v>
      </c>
      <c r="F26" s="31"/>
      <c r="G26" s="31"/>
      <c r="H26" s="7">
        <v>586.166666666667</v>
      </c>
      <c r="I26" s="32"/>
      <c r="J26" s="32"/>
      <c r="K26" s="7">
        <v>747.666666666667</v>
      </c>
      <c r="L26" s="33"/>
      <c r="M26" s="33"/>
      <c r="N26" s="7">
        <v>907.888888888889</v>
      </c>
      <c r="O26" s="34"/>
      <c r="P26" s="34"/>
    </row>
    <row r="27" spans="1:16">
      <c r="B27" s="7">
        <v>271.111111111111</v>
      </c>
      <c r="C27" s="30"/>
      <c r="D27" s="30"/>
      <c r="E27" s="7">
        <v>440</v>
      </c>
      <c r="F27" s="31"/>
      <c r="G27" s="31"/>
      <c r="H27" s="7">
        <v>604.888888888889</v>
      </c>
      <c r="I27" s="32"/>
      <c r="J27" s="32"/>
      <c r="K27" s="7">
        <v>772.444444444444</v>
      </c>
      <c r="L27" s="33"/>
      <c r="M27" s="33"/>
      <c r="N27" s="7">
        <v>938.666666666667</v>
      </c>
      <c r="O27" s="34"/>
      <c r="P27" s="34"/>
    </row>
    <row r="29" spans="1:16">
      <c r="A29" s="7">
        <v>1.8</v>
      </c>
      <c r="B29" s="7">
        <v>7</v>
      </c>
      <c r="E29" s="7">
        <v>13</v>
      </c>
      <c r="H29" s="7">
        <v>18</v>
      </c>
      <c r="K29" s="7">
        <v>25</v>
      </c>
      <c r="N29" s="7">
        <v>31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6"/>
  <sheetViews>
    <sheetView topLeftCell="Q1" workbookViewId="0">
      <selection activeCell="AA6" sqref="AA6"/>
    </sheetView>
  </sheetViews>
  <sheetFormatPr defaultColWidth="9" defaultRowHeight="13.5"/>
  <cols>
    <col min="1" max="1" width="27.5" style="7" customWidth="1"/>
    <col min="2" max="3" width="13.5" style="7" customWidth="1"/>
    <col min="4" max="4" width="12.5" style="7" customWidth="1"/>
    <col min="5" max="6" width="13.75" style="7" customWidth="1"/>
    <col min="7" max="7" width="23.5" style="7" customWidth="1"/>
    <col min="8" max="8" width="24.875" style="7" customWidth="1"/>
    <col min="9" max="9" width="17.75" style="7" customWidth="1"/>
    <col min="10" max="10" width="8.625" style="7" customWidth="1"/>
    <col min="11" max="11" width="12.375" style="8" customWidth="1"/>
    <col min="12" max="12" width="9" style="7" customWidth="1"/>
    <col min="13" max="13" width="34.25" style="7" customWidth="1"/>
    <col min="14" max="14" width="17.375" style="7" customWidth="1"/>
    <col min="15" max="16" width="15.875" style="7" customWidth="1"/>
    <col min="17" max="17" width="17.375" style="8" customWidth="1"/>
    <col min="18" max="18" width="13.875" style="7" customWidth="1"/>
    <col min="19" max="19" width="26" style="7" customWidth="1"/>
    <col min="20" max="20" width="24" style="7" customWidth="1"/>
    <col min="21" max="22" width="14.25" style="7" customWidth="1"/>
    <col min="23" max="23" width="11.375" style="7" customWidth="1"/>
    <col min="24" max="24" width="9" style="7" customWidth="1"/>
    <col min="25" max="25" width="22.625" style="7" customWidth="1"/>
    <col min="26" max="26" width="24.125" style="7" customWidth="1"/>
    <col min="27" max="28" width="14.625" style="7" customWidth="1"/>
    <col min="29" max="29" width="10" style="7" customWidth="1"/>
    <col min="30" max="30" width="9" style="7" customWidth="1"/>
    <col min="31" max="31" width="27.75" style="7" customWidth="1"/>
    <col min="32" max="16384" width="9" style="7" customWidth="1"/>
  </cols>
  <sheetData>
    <row r="1" spans="1:44">
      <c r="A1" s="9" t="s">
        <v>1119</v>
      </c>
      <c r="B1" s="9">
        <v>10001</v>
      </c>
      <c r="C1" s="9"/>
      <c r="D1" s="9"/>
      <c r="E1" s="9"/>
      <c r="F1" s="9"/>
      <c r="G1" s="9"/>
      <c r="H1" s="10" t="s">
        <v>1119</v>
      </c>
      <c r="I1" s="10">
        <v>10001</v>
      </c>
      <c r="J1" s="10"/>
      <c r="K1" s="11"/>
      <c r="L1" s="10"/>
      <c r="M1" s="10"/>
      <c r="N1" s="12" t="s">
        <v>1119</v>
      </c>
      <c r="O1" s="12">
        <v>10001</v>
      </c>
      <c r="P1" s="12"/>
      <c r="Q1" s="13"/>
      <c r="R1" s="12"/>
      <c r="S1" s="12"/>
      <c r="T1" s="14" t="s">
        <v>1119</v>
      </c>
      <c r="U1" s="14">
        <v>10001</v>
      </c>
      <c r="V1" s="14"/>
      <c r="W1" s="14"/>
      <c r="X1" s="14"/>
      <c r="Y1" s="14"/>
      <c r="Z1" s="15" t="s">
        <v>1119</v>
      </c>
      <c r="AA1" s="15">
        <v>10001</v>
      </c>
      <c r="AB1" s="15"/>
      <c r="AC1" s="15"/>
      <c r="AD1" s="15"/>
      <c r="AE1" s="15"/>
      <c r="AN1" s="7" t="s">
        <v>1120</v>
      </c>
    </row>
    <row r="2" spans="1:44">
      <c r="A2" s="9" t="s">
        <v>1121</v>
      </c>
      <c r="B2" s="9"/>
      <c r="C2" s="9"/>
      <c r="D2" s="9"/>
      <c r="E2" s="9"/>
      <c r="F2" s="9"/>
      <c r="G2" s="9"/>
      <c r="H2" s="10" t="s">
        <v>1122</v>
      </c>
      <c r="I2" s="10"/>
      <c r="J2" s="10"/>
      <c r="K2" s="11"/>
      <c r="L2" s="10"/>
      <c r="M2" s="10"/>
      <c r="N2" s="12" t="s">
        <v>1123</v>
      </c>
      <c r="O2" s="12"/>
      <c r="P2" s="12"/>
      <c r="Q2" s="13"/>
      <c r="R2" s="12"/>
      <c r="S2" s="12"/>
      <c r="T2" s="14" t="s">
        <v>1124</v>
      </c>
      <c r="U2" s="14"/>
      <c r="V2" s="14"/>
      <c r="W2" s="14"/>
      <c r="X2" s="14"/>
      <c r="Y2" s="14"/>
      <c r="Z2" s="15" t="s">
        <v>1125</v>
      </c>
      <c r="AA2" s="15"/>
      <c r="AB2" s="15"/>
      <c r="AC2" s="15"/>
      <c r="AD2" s="15"/>
      <c r="AE2" s="15"/>
      <c r="AH2" s="16" t="s">
        <v>1126</v>
      </c>
      <c r="AI2" s="16" t="s">
        <v>1127</v>
      </c>
      <c r="AJ2" s="16"/>
      <c r="AK2" s="16" t="s">
        <v>1128</v>
      </c>
      <c r="AL2" s="16" t="s">
        <v>1129</v>
      </c>
      <c r="AN2" s="16" t="s">
        <v>1126</v>
      </c>
      <c r="AO2" s="16" t="s">
        <v>1127</v>
      </c>
      <c r="AP2" s="16"/>
      <c r="AQ2" s="16" t="s">
        <v>1128</v>
      </c>
      <c r="AR2" s="16" t="s">
        <v>1129</v>
      </c>
    </row>
    <row r="3" spans="1:44">
      <c r="A3" s="9">
        <v>111001</v>
      </c>
      <c r="B3" s="9"/>
      <c r="C3" s="9"/>
      <c r="D3" s="9"/>
      <c r="E3" s="9"/>
      <c r="F3" s="9"/>
      <c r="G3" s="9"/>
      <c r="H3" s="10">
        <v>112001</v>
      </c>
      <c r="I3" s="10"/>
      <c r="J3" s="10"/>
      <c r="K3" s="11"/>
      <c r="L3" s="10"/>
      <c r="M3" s="10"/>
      <c r="N3" s="12">
        <v>113001</v>
      </c>
      <c r="O3" s="12"/>
      <c r="P3" s="12"/>
      <c r="Q3" s="13"/>
      <c r="R3" s="12"/>
      <c r="S3" s="12"/>
      <c r="T3" s="14">
        <v>114001</v>
      </c>
      <c r="U3" s="14"/>
      <c r="V3" s="14"/>
      <c r="W3" s="14"/>
      <c r="X3" s="14"/>
      <c r="Y3" s="14"/>
      <c r="Z3" s="15">
        <v>115001</v>
      </c>
      <c r="AA3" s="15"/>
      <c r="AB3" s="15"/>
      <c r="AC3" s="15"/>
      <c r="AD3" s="15"/>
      <c r="AE3" s="15"/>
      <c r="AH3" s="17">
        <v>10</v>
      </c>
      <c r="AI3" s="18">
        <v>2.5</v>
      </c>
      <c r="AJ3" s="19"/>
      <c r="AK3" s="19">
        <v>1</v>
      </c>
      <c r="AL3" s="20">
        <f t="shared" ref="AL3:AL27" si="0">$AH$3*POWER(AK3,$AI$3)</f>
        <v>10</v>
      </c>
      <c r="AN3" s="17">
        <v>135</v>
      </c>
      <c r="AO3" s="18">
        <v>2</v>
      </c>
      <c r="AP3" s="19"/>
      <c r="AQ3" s="19">
        <v>1</v>
      </c>
      <c r="AR3" s="20">
        <f t="shared" ref="AR3:AR27" si="1">$AN$3*POWER(AQ3,$AO$3)</f>
        <v>135</v>
      </c>
    </row>
    <row r="4" ht="27" customHeight="1" spans="1:44">
      <c r="A4" s="9" t="s">
        <v>1130</v>
      </c>
      <c r="B4" s="9" t="s">
        <v>1131</v>
      </c>
      <c r="C4" s="9"/>
      <c r="D4" s="9" t="s">
        <v>1132</v>
      </c>
      <c r="E4" s="9" t="s">
        <v>1133</v>
      </c>
      <c r="F4" s="9" t="s">
        <v>1134</v>
      </c>
      <c r="G4" s="9"/>
      <c r="H4" s="10" t="s">
        <v>1130</v>
      </c>
      <c r="I4" s="10" t="s">
        <v>1131</v>
      </c>
      <c r="J4" s="10"/>
      <c r="K4" s="11" t="s">
        <v>1132</v>
      </c>
      <c r="L4" s="10" t="s">
        <v>1133</v>
      </c>
      <c r="M4" s="10"/>
      <c r="N4" s="12" t="s">
        <v>1130</v>
      </c>
      <c r="O4" s="12" t="s">
        <v>1131</v>
      </c>
      <c r="P4" s="12"/>
      <c r="Q4" s="13" t="s">
        <v>1132</v>
      </c>
      <c r="R4" s="12" t="s">
        <v>1133</v>
      </c>
      <c r="S4" s="12"/>
      <c r="T4" s="14" t="s">
        <v>1130</v>
      </c>
      <c r="U4" s="14" t="s">
        <v>1131</v>
      </c>
      <c r="V4" s="14"/>
      <c r="W4" s="14" t="s">
        <v>1132</v>
      </c>
      <c r="X4" s="14" t="s">
        <v>1133</v>
      </c>
      <c r="Y4" s="14"/>
      <c r="Z4" s="15" t="s">
        <v>1130</v>
      </c>
      <c r="AA4" s="15" t="s">
        <v>1131</v>
      </c>
      <c r="AB4" s="15"/>
      <c r="AC4" s="15" t="s">
        <v>1132</v>
      </c>
      <c r="AD4" s="15" t="s">
        <v>1133</v>
      </c>
      <c r="AE4" s="15"/>
      <c r="AH4" s="19"/>
      <c r="AI4" s="19"/>
      <c r="AJ4" s="19"/>
      <c r="AK4" s="17">
        <v>2</v>
      </c>
      <c r="AL4" s="20">
        <f t="shared" si="0"/>
        <v>57</v>
      </c>
      <c r="AN4" s="19"/>
      <c r="AO4" s="19"/>
      <c r="AP4" s="19"/>
      <c r="AQ4" s="17">
        <v>2</v>
      </c>
      <c r="AR4" s="20">
        <f t="shared" si="1"/>
        <v>540</v>
      </c>
    </row>
    <row r="5" spans="1:44">
      <c r="A5" s="9">
        <v>330</v>
      </c>
      <c r="B5" s="9">
        <v>1000</v>
      </c>
      <c r="C5" s="9">
        <v>1</v>
      </c>
      <c r="D5" s="8">
        <v>10</v>
      </c>
      <c r="E5" s="9">
        <v>135</v>
      </c>
      <c r="F5" s="9"/>
      <c r="G5" s="9" t="str">
        <f>A3&amp;"|"&amp;D5&amp;"$"&amp;$B$1&amp;"|"&amp;E5</f>
        <v>111001|10$10001|135</v>
      </c>
      <c r="H5" s="7">
        <v>331.5</v>
      </c>
      <c r="I5" s="21">
        <v>1500</v>
      </c>
      <c r="J5" s="21">
        <v>1</v>
      </c>
      <c r="K5" s="8">
        <f t="shared" ref="K5:K29" si="2">D5*2</f>
        <v>20</v>
      </c>
      <c r="L5" s="8">
        <f t="shared" ref="L5:L29" si="3">E5*2</f>
        <v>270</v>
      </c>
      <c r="M5" s="10" t="str">
        <f t="shared" ref="M5:M29" si="4">$H$3&amp;"|"&amp;K5&amp;"$"&amp;$B$1&amp;"|"&amp;L5</f>
        <v>112001|20$10001|270</v>
      </c>
      <c r="N5" s="7">
        <v>552.5</v>
      </c>
      <c r="O5" s="22">
        <v>2000</v>
      </c>
      <c r="P5" s="22">
        <v>1</v>
      </c>
      <c r="Q5" s="8">
        <f t="shared" ref="Q5:Q29" si="5">K5*2</f>
        <v>40</v>
      </c>
      <c r="R5" s="8">
        <f t="shared" ref="R5:R29" si="6">L5*2</f>
        <v>540</v>
      </c>
      <c r="S5" s="12" t="str">
        <f t="shared" ref="S5:S29" si="7">$N$3&amp;"|"&amp;Q5&amp;"$"&amp;$B$1&amp;"|"&amp;R5</f>
        <v>113001|40$10001|540</v>
      </c>
      <c r="T5" s="7">
        <v>1105</v>
      </c>
      <c r="U5" s="23">
        <v>2500</v>
      </c>
      <c r="V5" s="23">
        <v>1</v>
      </c>
      <c r="W5" s="8">
        <f t="shared" ref="W5:W29" si="8">Q5*2</f>
        <v>80</v>
      </c>
      <c r="X5" s="8">
        <f t="shared" ref="X5:X29" si="9">R5*2</f>
        <v>1080</v>
      </c>
      <c r="Y5" s="14" t="str">
        <f t="shared" ref="Y5:Y29" si="10">$T$3&amp;"|"&amp;W5&amp;"$"&amp;$B$1&amp;"|"&amp;X5</f>
        <v>114001|80$10001|1080</v>
      </c>
      <c r="Z5" s="7">
        <v>1657.5</v>
      </c>
      <c r="AA5" s="24">
        <v>3000</v>
      </c>
      <c r="AB5" s="24">
        <v>1</v>
      </c>
      <c r="AC5" s="8">
        <f t="shared" ref="AC5:AC29" si="11">W5*2</f>
        <v>160</v>
      </c>
      <c r="AD5" s="8">
        <f t="shared" ref="AD5:AD29" si="12">X5*2</f>
        <v>2160</v>
      </c>
      <c r="AE5" s="15" t="str">
        <f t="shared" ref="AE5:AE29" si="13">$Z$3&amp;"|"&amp;AC5&amp;"$"&amp;$B$1&amp;"|"&amp;AD5</f>
        <v>115001|160$10001|2160</v>
      </c>
      <c r="AH5" s="19"/>
      <c r="AI5" s="19"/>
      <c r="AJ5" s="19"/>
      <c r="AK5" s="19">
        <v>3</v>
      </c>
      <c r="AL5" s="20">
        <f t="shared" si="0"/>
        <v>156</v>
      </c>
      <c r="AN5" s="19"/>
      <c r="AO5" s="19"/>
      <c r="AP5" s="19"/>
      <c r="AQ5" s="19">
        <v>3</v>
      </c>
      <c r="AR5" s="20">
        <f t="shared" si="1"/>
        <v>1215</v>
      </c>
    </row>
    <row r="6" ht="27" customHeight="1" spans="1:44">
      <c r="A6" s="9" t="str">
        <f>A3&amp;"|"&amp;A5&amp;"$"&amp;$B$1&amp;"|"&amp;B5</f>
        <v>111001|330$10001|1000</v>
      </c>
      <c r="B6" s="9"/>
      <c r="C6" s="9">
        <v>2</v>
      </c>
      <c r="D6" s="8">
        <v>57</v>
      </c>
      <c r="E6" s="9">
        <v>540</v>
      </c>
      <c r="F6" s="9"/>
      <c r="G6" s="9" t="str">
        <f t="shared" ref="G6:G29" si="14">$A$3&amp;"|"&amp;D6&amp;"$"&amp;$B$1&amp;"|"&amp;E6</f>
        <v>111001|57$10001|540</v>
      </c>
      <c r="H6" s="10" t="str">
        <f>H3&amp;"|"&amp;H5&amp;"$"&amp;$B$1&amp;"|"&amp;I5</f>
        <v>112001|331.5$10001|1500</v>
      </c>
      <c r="I6" s="10"/>
      <c r="J6" s="10">
        <v>2</v>
      </c>
      <c r="K6" s="8">
        <f t="shared" si="2"/>
        <v>114</v>
      </c>
      <c r="L6" s="8">
        <f t="shared" si="3"/>
        <v>1080</v>
      </c>
      <c r="M6" s="10" t="str">
        <f t="shared" si="4"/>
        <v>112001|114$10001|1080</v>
      </c>
      <c r="N6" s="12" t="str">
        <f>N3&amp;"|"&amp;N5&amp;"$"&amp;$B$1&amp;"|"&amp;O5</f>
        <v>113001|552.5$10001|2000</v>
      </c>
      <c r="O6" s="12"/>
      <c r="P6" s="12">
        <v>2</v>
      </c>
      <c r="Q6" s="8">
        <f t="shared" si="5"/>
        <v>228</v>
      </c>
      <c r="R6" s="8">
        <f t="shared" si="6"/>
        <v>2160</v>
      </c>
      <c r="S6" s="12" t="str">
        <f t="shared" si="7"/>
        <v>113001|228$10001|2160</v>
      </c>
      <c r="T6" s="14" t="str">
        <f>T3&amp;"|"&amp;T5&amp;"$"&amp;$B$1&amp;"|"&amp;U5</f>
        <v>114001|1105$10001|2500</v>
      </c>
      <c r="U6" s="14"/>
      <c r="V6" s="14">
        <v>2</v>
      </c>
      <c r="W6" s="8">
        <f t="shared" si="8"/>
        <v>456</v>
      </c>
      <c r="X6" s="8">
        <f t="shared" si="9"/>
        <v>4320</v>
      </c>
      <c r="Y6" s="14" t="str">
        <f t="shared" si="10"/>
        <v>114001|456$10001|4320</v>
      </c>
      <c r="Z6" s="15" t="str">
        <f>Z3&amp;"|"&amp;Z5&amp;"$"&amp;$B$1&amp;"|"&amp;AA5</f>
        <v>115001|1657.5$10001|3000</v>
      </c>
      <c r="AA6" s="15"/>
      <c r="AB6" s="15">
        <v>2</v>
      </c>
      <c r="AC6" s="8">
        <f t="shared" si="11"/>
        <v>912</v>
      </c>
      <c r="AD6" s="8">
        <f t="shared" si="12"/>
        <v>8640</v>
      </c>
      <c r="AE6" s="15" t="str">
        <f t="shared" si="13"/>
        <v>115001|912$10001|8640</v>
      </c>
      <c r="AH6" s="19"/>
      <c r="AI6" s="19"/>
      <c r="AJ6" s="19"/>
      <c r="AK6" s="17">
        <v>4</v>
      </c>
      <c r="AL6" s="20">
        <f t="shared" si="0"/>
        <v>320</v>
      </c>
      <c r="AN6" s="19"/>
      <c r="AO6" s="19"/>
      <c r="AP6" s="19"/>
      <c r="AQ6" s="17">
        <v>4</v>
      </c>
      <c r="AR6" s="20">
        <f t="shared" si="1"/>
        <v>2160</v>
      </c>
    </row>
    <row r="7" spans="1:44">
      <c r="A7" s="9"/>
      <c r="B7" s="9"/>
      <c r="C7" s="9">
        <v>3</v>
      </c>
      <c r="D7" s="8">
        <v>156</v>
      </c>
      <c r="E7" s="9">
        <v>1215</v>
      </c>
      <c r="F7" s="9"/>
      <c r="G7" s="9" t="str">
        <f t="shared" si="14"/>
        <v>111001|156$10001|1215</v>
      </c>
      <c r="H7" s="10"/>
      <c r="I7" s="10"/>
      <c r="J7" s="21">
        <v>3</v>
      </c>
      <c r="K7" s="8">
        <f t="shared" si="2"/>
        <v>312</v>
      </c>
      <c r="L7" s="8">
        <f t="shared" si="3"/>
        <v>2430</v>
      </c>
      <c r="M7" s="10" t="str">
        <f t="shared" si="4"/>
        <v>112001|312$10001|2430</v>
      </c>
      <c r="N7" s="12"/>
      <c r="O7" s="12"/>
      <c r="P7" s="22">
        <v>3</v>
      </c>
      <c r="Q7" s="8">
        <f t="shared" si="5"/>
        <v>624</v>
      </c>
      <c r="R7" s="8">
        <f t="shared" si="6"/>
        <v>4860</v>
      </c>
      <c r="S7" s="12" t="str">
        <f t="shared" si="7"/>
        <v>113001|624$10001|4860</v>
      </c>
      <c r="T7" s="14"/>
      <c r="U7" s="14"/>
      <c r="V7" s="23">
        <v>3</v>
      </c>
      <c r="W7" s="8">
        <f t="shared" si="8"/>
        <v>1248</v>
      </c>
      <c r="X7" s="8">
        <f t="shared" si="9"/>
        <v>9720</v>
      </c>
      <c r="Y7" s="14" t="str">
        <f t="shared" si="10"/>
        <v>114001|1248$10001|9720</v>
      </c>
      <c r="Z7" s="15"/>
      <c r="AA7" s="15"/>
      <c r="AB7" s="24">
        <v>3</v>
      </c>
      <c r="AC7" s="8">
        <f t="shared" si="11"/>
        <v>2496</v>
      </c>
      <c r="AD7" s="8">
        <f t="shared" si="12"/>
        <v>19440</v>
      </c>
      <c r="AE7" s="15" t="str">
        <f t="shared" si="13"/>
        <v>115001|2496$10001|19440</v>
      </c>
      <c r="AH7" s="19"/>
      <c r="AI7" s="19"/>
      <c r="AJ7" s="19"/>
      <c r="AK7" s="19">
        <v>5</v>
      </c>
      <c r="AL7" s="20">
        <f t="shared" si="0"/>
        <v>559</v>
      </c>
      <c r="AN7" s="19"/>
      <c r="AO7" s="19"/>
      <c r="AP7" s="19"/>
      <c r="AQ7" s="19">
        <v>5</v>
      </c>
      <c r="AR7" s="20">
        <f t="shared" si="1"/>
        <v>3375</v>
      </c>
    </row>
    <row r="8" ht="27" customHeight="1" spans="1:44">
      <c r="A8" s="9"/>
      <c r="B8" s="9"/>
      <c r="C8" s="9">
        <v>4</v>
      </c>
      <c r="D8" s="8">
        <v>320</v>
      </c>
      <c r="E8" s="9">
        <v>2160</v>
      </c>
      <c r="F8" s="9"/>
      <c r="G8" s="9" t="str">
        <f t="shared" si="14"/>
        <v>111001|320$10001|2160</v>
      </c>
      <c r="H8" s="10"/>
      <c r="I8" s="10"/>
      <c r="J8" s="10">
        <v>4</v>
      </c>
      <c r="K8" s="8">
        <f t="shared" si="2"/>
        <v>640</v>
      </c>
      <c r="L8" s="8">
        <f t="shared" si="3"/>
        <v>4320</v>
      </c>
      <c r="M8" s="10" t="str">
        <f t="shared" si="4"/>
        <v>112001|640$10001|4320</v>
      </c>
      <c r="N8" s="12"/>
      <c r="O8" s="12"/>
      <c r="P8" s="12">
        <v>4</v>
      </c>
      <c r="Q8" s="8">
        <f t="shared" si="5"/>
        <v>1280</v>
      </c>
      <c r="R8" s="8">
        <f t="shared" si="6"/>
        <v>8640</v>
      </c>
      <c r="S8" s="12" t="str">
        <f t="shared" si="7"/>
        <v>113001|1280$10001|8640</v>
      </c>
      <c r="T8" s="14"/>
      <c r="U8" s="14"/>
      <c r="V8" s="14">
        <v>4</v>
      </c>
      <c r="W8" s="8">
        <f t="shared" si="8"/>
        <v>2560</v>
      </c>
      <c r="X8" s="8">
        <f t="shared" si="9"/>
        <v>17280</v>
      </c>
      <c r="Y8" s="14" t="str">
        <f t="shared" si="10"/>
        <v>114001|2560$10001|17280</v>
      </c>
      <c r="Z8" s="15"/>
      <c r="AA8" s="15"/>
      <c r="AB8" s="15">
        <v>4</v>
      </c>
      <c r="AC8" s="8">
        <f t="shared" si="11"/>
        <v>5120</v>
      </c>
      <c r="AD8" s="8">
        <f t="shared" si="12"/>
        <v>34560</v>
      </c>
      <c r="AE8" s="15" t="str">
        <f t="shared" si="13"/>
        <v>115001|5120$10001|34560</v>
      </c>
      <c r="AH8" s="19"/>
      <c r="AI8" s="19"/>
      <c r="AJ8" s="19"/>
      <c r="AK8" s="17">
        <v>6</v>
      </c>
      <c r="AL8" s="20">
        <f t="shared" si="0"/>
        <v>882</v>
      </c>
      <c r="AN8" s="19"/>
      <c r="AO8" s="19"/>
      <c r="AP8" s="19"/>
      <c r="AQ8" s="17">
        <v>6</v>
      </c>
      <c r="AR8" s="20">
        <f t="shared" si="1"/>
        <v>4860</v>
      </c>
    </row>
    <row r="9" ht="27" customHeight="1" spans="1:44">
      <c r="A9" s="9"/>
      <c r="B9" s="9"/>
      <c r="C9" s="9">
        <v>5</v>
      </c>
      <c r="D9" s="8">
        <v>559</v>
      </c>
      <c r="E9" s="9">
        <v>3375</v>
      </c>
      <c r="F9" s="9"/>
      <c r="G9" s="9" t="str">
        <f t="shared" si="14"/>
        <v>111001|559$10001|3375</v>
      </c>
      <c r="H9" s="10"/>
      <c r="I9" s="10"/>
      <c r="J9" s="21">
        <v>5</v>
      </c>
      <c r="K9" s="8">
        <f t="shared" si="2"/>
        <v>1118</v>
      </c>
      <c r="L9" s="8">
        <f t="shared" si="3"/>
        <v>6750</v>
      </c>
      <c r="M9" s="10" t="str">
        <f t="shared" si="4"/>
        <v>112001|1118$10001|6750</v>
      </c>
      <c r="N9" s="12"/>
      <c r="O9" s="12"/>
      <c r="P9" s="22">
        <v>5</v>
      </c>
      <c r="Q9" s="8">
        <f t="shared" si="5"/>
        <v>2236</v>
      </c>
      <c r="R9" s="8">
        <f t="shared" si="6"/>
        <v>13500</v>
      </c>
      <c r="S9" s="12" t="str">
        <f t="shared" si="7"/>
        <v>113001|2236$10001|13500</v>
      </c>
      <c r="T9" s="14"/>
      <c r="U9" s="14"/>
      <c r="V9" s="23">
        <v>5</v>
      </c>
      <c r="W9" s="8">
        <f t="shared" si="8"/>
        <v>4472</v>
      </c>
      <c r="X9" s="8">
        <f t="shared" si="9"/>
        <v>27000</v>
      </c>
      <c r="Y9" s="14" t="str">
        <f t="shared" si="10"/>
        <v>114001|4472$10001|27000</v>
      </c>
      <c r="Z9" s="15"/>
      <c r="AA9" s="15"/>
      <c r="AB9" s="24">
        <v>5</v>
      </c>
      <c r="AC9" s="8">
        <f t="shared" si="11"/>
        <v>8944</v>
      </c>
      <c r="AD9" s="8">
        <f t="shared" si="12"/>
        <v>54000</v>
      </c>
      <c r="AE9" s="15" t="str">
        <f t="shared" si="13"/>
        <v>115001|8944$10001|54000</v>
      </c>
      <c r="AH9" s="19"/>
      <c r="AI9" s="19"/>
      <c r="AJ9" s="19"/>
      <c r="AK9" s="19">
        <v>7</v>
      </c>
      <c r="AL9" s="20">
        <f t="shared" si="0"/>
        <v>1296</v>
      </c>
      <c r="AN9" s="19"/>
      <c r="AO9" s="19"/>
      <c r="AP9" s="19"/>
      <c r="AQ9" s="19">
        <v>7</v>
      </c>
      <c r="AR9" s="20">
        <f t="shared" si="1"/>
        <v>6615</v>
      </c>
    </row>
    <row r="10" ht="27" customHeight="1" spans="1:44">
      <c r="A10" s="9"/>
      <c r="B10" s="9"/>
      <c r="C10" s="9">
        <v>6</v>
      </c>
      <c r="D10" s="8">
        <v>882</v>
      </c>
      <c r="E10" s="9">
        <v>4860</v>
      </c>
      <c r="F10" s="9"/>
      <c r="G10" s="9" t="str">
        <f t="shared" si="14"/>
        <v>111001|882$10001|4860</v>
      </c>
      <c r="H10" s="10"/>
      <c r="I10" s="10"/>
      <c r="J10" s="10">
        <v>6</v>
      </c>
      <c r="K10" s="8">
        <f t="shared" si="2"/>
        <v>1764</v>
      </c>
      <c r="L10" s="8">
        <f t="shared" si="3"/>
        <v>9720</v>
      </c>
      <c r="M10" s="10" t="str">
        <f t="shared" si="4"/>
        <v>112001|1764$10001|9720</v>
      </c>
      <c r="N10" s="12"/>
      <c r="O10" s="12"/>
      <c r="P10" s="12">
        <v>6</v>
      </c>
      <c r="Q10" s="8">
        <f t="shared" si="5"/>
        <v>3528</v>
      </c>
      <c r="R10" s="8">
        <f t="shared" si="6"/>
        <v>19440</v>
      </c>
      <c r="S10" s="12" t="str">
        <f t="shared" si="7"/>
        <v>113001|3528$10001|19440</v>
      </c>
      <c r="T10" s="14"/>
      <c r="U10" s="14"/>
      <c r="V10" s="14">
        <v>6</v>
      </c>
      <c r="W10" s="8">
        <f t="shared" si="8"/>
        <v>7056</v>
      </c>
      <c r="X10" s="8">
        <f t="shared" si="9"/>
        <v>38880</v>
      </c>
      <c r="Y10" s="14" t="str">
        <f t="shared" si="10"/>
        <v>114001|7056$10001|38880</v>
      </c>
      <c r="Z10" s="15"/>
      <c r="AA10" s="15"/>
      <c r="AB10" s="15">
        <v>6</v>
      </c>
      <c r="AC10" s="8">
        <f t="shared" si="11"/>
        <v>14112</v>
      </c>
      <c r="AD10" s="8">
        <f t="shared" si="12"/>
        <v>77760</v>
      </c>
      <c r="AE10" s="15" t="str">
        <f t="shared" si="13"/>
        <v>115001|14112$10001|77760</v>
      </c>
      <c r="AH10" s="19"/>
      <c r="AI10" s="19"/>
      <c r="AJ10" s="19"/>
      <c r="AK10" s="17">
        <v>8</v>
      </c>
      <c r="AL10" s="20">
        <f t="shared" si="0"/>
        <v>1810</v>
      </c>
      <c r="AN10" s="19"/>
      <c r="AO10" s="19"/>
      <c r="AP10" s="19"/>
      <c r="AQ10" s="17">
        <v>8</v>
      </c>
      <c r="AR10" s="20">
        <f t="shared" si="1"/>
        <v>8640</v>
      </c>
    </row>
    <row r="11" ht="27" customHeight="1" spans="1:44">
      <c r="A11" s="9"/>
      <c r="B11" s="9"/>
      <c r="C11" s="9">
        <v>7</v>
      </c>
      <c r="D11" s="8">
        <v>1296</v>
      </c>
      <c r="E11" s="9">
        <v>6615</v>
      </c>
      <c r="F11" s="9"/>
      <c r="G11" s="9" t="str">
        <f t="shared" si="14"/>
        <v>111001|1296$10001|6615</v>
      </c>
      <c r="H11" s="10"/>
      <c r="I11" s="10"/>
      <c r="J11" s="21">
        <v>7</v>
      </c>
      <c r="K11" s="8">
        <f t="shared" si="2"/>
        <v>2592</v>
      </c>
      <c r="L11" s="8">
        <f t="shared" si="3"/>
        <v>13230</v>
      </c>
      <c r="M11" s="10" t="str">
        <f t="shared" si="4"/>
        <v>112001|2592$10001|13230</v>
      </c>
      <c r="N11" s="12"/>
      <c r="O11" s="12"/>
      <c r="P11" s="22">
        <v>7</v>
      </c>
      <c r="Q11" s="8">
        <f t="shared" si="5"/>
        <v>5184</v>
      </c>
      <c r="R11" s="8">
        <f t="shared" si="6"/>
        <v>26460</v>
      </c>
      <c r="S11" s="12" t="str">
        <f t="shared" si="7"/>
        <v>113001|5184$10001|26460</v>
      </c>
      <c r="T11" s="14"/>
      <c r="U11" s="14"/>
      <c r="V11" s="23">
        <v>7</v>
      </c>
      <c r="W11" s="8">
        <f t="shared" si="8"/>
        <v>10368</v>
      </c>
      <c r="X11" s="8">
        <f t="shared" si="9"/>
        <v>52920</v>
      </c>
      <c r="Y11" s="14" t="str">
        <f t="shared" si="10"/>
        <v>114001|10368$10001|52920</v>
      </c>
      <c r="Z11" s="15"/>
      <c r="AA11" s="15"/>
      <c r="AB11" s="24">
        <v>7</v>
      </c>
      <c r="AC11" s="8">
        <f t="shared" si="11"/>
        <v>20736</v>
      </c>
      <c r="AD11" s="8">
        <f t="shared" si="12"/>
        <v>105840</v>
      </c>
      <c r="AE11" s="15" t="str">
        <f t="shared" si="13"/>
        <v>115001|20736$10001|105840</v>
      </c>
      <c r="AH11" s="19"/>
      <c r="AI11" s="19"/>
      <c r="AJ11" s="19"/>
      <c r="AK11" s="19">
        <v>9</v>
      </c>
      <c r="AL11" s="20">
        <f t="shared" si="0"/>
        <v>2430</v>
      </c>
      <c r="AN11" s="19"/>
      <c r="AO11" s="19"/>
      <c r="AP11" s="19"/>
      <c r="AQ11" s="19">
        <v>9</v>
      </c>
      <c r="AR11" s="20">
        <f t="shared" si="1"/>
        <v>10935</v>
      </c>
    </row>
    <row r="12" ht="27" customHeight="1" spans="1:44">
      <c r="A12" s="9"/>
      <c r="B12" s="9"/>
      <c r="C12" s="9">
        <v>8</v>
      </c>
      <c r="D12" s="8">
        <v>1810</v>
      </c>
      <c r="E12" s="9">
        <v>8640</v>
      </c>
      <c r="F12" s="9"/>
      <c r="G12" s="9" t="str">
        <f t="shared" si="14"/>
        <v>111001|1810$10001|8640</v>
      </c>
      <c r="H12" s="10"/>
      <c r="I12" s="10"/>
      <c r="J12" s="10">
        <v>8</v>
      </c>
      <c r="K12" s="8">
        <f t="shared" si="2"/>
        <v>3620</v>
      </c>
      <c r="L12" s="8">
        <f t="shared" si="3"/>
        <v>17280</v>
      </c>
      <c r="M12" s="10" t="str">
        <f t="shared" si="4"/>
        <v>112001|3620$10001|17280</v>
      </c>
      <c r="N12" s="12"/>
      <c r="O12" s="12"/>
      <c r="P12" s="12">
        <v>8</v>
      </c>
      <c r="Q12" s="8">
        <f t="shared" si="5"/>
        <v>7240</v>
      </c>
      <c r="R12" s="8">
        <f t="shared" si="6"/>
        <v>34560</v>
      </c>
      <c r="S12" s="12" t="str">
        <f t="shared" si="7"/>
        <v>113001|7240$10001|34560</v>
      </c>
      <c r="T12" s="14"/>
      <c r="U12" s="14"/>
      <c r="V12" s="14">
        <v>8</v>
      </c>
      <c r="W12" s="8">
        <f t="shared" si="8"/>
        <v>14480</v>
      </c>
      <c r="X12" s="8">
        <f t="shared" si="9"/>
        <v>69120</v>
      </c>
      <c r="Y12" s="14" t="str">
        <f t="shared" si="10"/>
        <v>114001|14480$10001|69120</v>
      </c>
      <c r="Z12" s="15"/>
      <c r="AA12" s="15"/>
      <c r="AB12" s="15">
        <v>8</v>
      </c>
      <c r="AC12" s="8">
        <f t="shared" si="11"/>
        <v>28960</v>
      </c>
      <c r="AD12" s="8">
        <f t="shared" si="12"/>
        <v>138240</v>
      </c>
      <c r="AE12" s="15" t="str">
        <f t="shared" si="13"/>
        <v>115001|28960$10001|138240</v>
      </c>
      <c r="AH12" s="19"/>
      <c r="AI12" s="19"/>
      <c r="AJ12" s="19"/>
      <c r="AK12" s="17">
        <v>10</v>
      </c>
      <c r="AL12" s="20">
        <f t="shared" si="0"/>
        <v>3162</v>
      </c>
      <c r="AN12" s="19"/>
      <c r="AO12" s="19"/>
      <c r="AP12" s="19"/>
      <c r="AQ12" s="17">
        <v>10</v>
      </c>
      <c r="AR12" s="20">
        <f t="shared" si="1"/>
        <v>13500</v>
      </c>
    </row>
    <row r="13" ht="27" customHeight="1" spans="1:44">
      <c r="A13" s="9"/>
      <c r="B13" s="9"/>
      <c r="C13" s="9">
        <v>9</v>
      </c>
      <c r="D13" s="8">
        <v>2430</v>
      </c>
      <c r="E13" s="9">
        <v>10935</v>
      </c>
      <c r="F13" s="9"/>
      <c r="G13" s="9" t="str">
        <f t="shared" si="14"/>
        <v>111001|2430$10001|10935</v>
      </c>
      <c r="H13" s="10"/>
      <c r="I13" s="10"/>
      <c r="J13" s="21">
        <v>9</v>
      </c>
      <c r="K13" s="8">
        <f t="shared" si="2"/>
        <v>4860</v>
      </c>
      <c r="L13" s="8">
        <f t="shared" si="3"/>
        <v>21870</v>
      </c>
      <c r="M13" s="10" t="str">
        <f t="shared" si="4"/>
        <v>112001|4860$10001|21870</v>
      </c>
      <c r="N13" s="12"/>
      <c r="O13" s="12"/>
      <c r="P13" s="22">
        <v>9</v>
      </c>
      <c r="Q13" s="8">
        <f t="shared" si="5"/>
        <v>9720</v>
      </c>
      <c r="R13" s="8">
        <f t="shared" si="6"/>
        <v>43740</v>
      </c>
      <c r="S13" s="12" t="str">
        <f t="shared" si="7"/>
        <v>113001|9720$10001|43740</v>
      </c>
      <c r="T13" s="14"/>
      <c r="U13" s="14"/>
      <c r="V13" s="23">
        <v>9</v>
      </c>
      <c r="W13" s="8">
        <f t="shared" si="8"/>
        <v>19440</v>
      </c>
      <c r="X13" s="8">
        <f t="shared" si="9"/>
        <v>87480</v>
      </c>
      <c r="Y13" s="14" t="str">
        <f t="shared" si="10"/>
        <v>114001|19440$10001|87480</v>
      </c>
      <c r="Z13" s="15"/>
      <c r="AA13" s="15"/>
      <c r="AB13" s="24">
        <v>9</v>
      </c>
      <c r="AC13" s="8">
        <f t="shared" si="11"/>
        <v>38880</v>
      </c>
      <c r="AD13" s="8">
        <f t="shared" si="12"/>
        <v>174960</v>
      </c>
      <c r="AE13" s="15" t="str">
        <f t="shared" si="13"/>
        <v>115001|38880$10001|174960</v>
      </c>
      <c r="AH13" s="19"/>
      <c r="AI13" s="19"/>
      <c r="AJ13" s="19"/>
      <c r="AK13" s="19">
        <v>11</v>
      </c>
      <c r="AL13" s="20">
        <f t="shared" si="0"/>
        <v>4013</v>
      </c>
      <c r="AN13" s="19"/>
      <c r="AO13" s="19"/>
      <c r="AP13" s="19"/>
      <c r="AQ13" s="19">
        <v>11</v>
      </c>
      <c r="AR13" s="20">
        <f t="shared" si="1"/>
        <v>16335</v>
      </c>
    </row>
    <row r="14" ht="27" customHeight="1" spans="1:44">
      <c r="A14" s="9"/>
      <c r="B14" s="9"/>
      <c r="C14" s="9">
        <v>10</v>
      </c>
      <c r="D14" s="8">
        <v>3162</v>
      </c>
      <c r="E14" s="9">
        <v>13500</v>
      </c>
      <c r="F14" s="9"/>
      <c r="G14" s="9" t="str">
        <f t="shared" si="14"/>
        <v>111001|3162$10001|13500</v>
      </c>
      <c r="H14" s="10"/>
      <c r="I14" s="10"/>
      <c r="J14" s="10">
        <v>10</v>
      </c>
      <c r="K14" s="8">
        <f t="shared" si="2"/>
        <v>6324</v>
      </c>
      <c r="L14" s="8">
        <f t="shared" si="3"/>
        <v>27000</v>
      </c>
      <c r="M14" s="10" t="str">
        <f t="shared" si="4"/>
        <v>112001|6324$10001|27000</v>
      </c>
      <c r="N14" s="12"/>
      <c r="O14" s="12"/>
      <c r="P14" s="12">
        <v>10</v>
      </c>
      <c r="Q14" s="8">
        <f t="shared" si="5"/>
        <v>12648</v>
      </c>
      <c r="R14" s="8">
        <f t="shared" si="6"/>
        <v>54000</v>
      </c>
      <c r="S14" s="12" t="str">
        <f t="shared" si="7"/>
        <v>113001|12648$10001|54000</v>
      </c>
      <c r="T14" s="14"/>
      <c r="U14" s="14"/>
      <c r="V14" s="14">
        <v>10</v>
      </c>
      <c r="W14" s="8">
        <f t="shared" si="8"/>
        <v>25296</v>
      </c>
      <c r="X14" s="8">
        <f t="shared" si="9"/>
        <v>108000</v>
      </c>
      <c r="Y14" s="14" t="str">
        <f t="shared" si="10"/>
        <v>114001|25296$10001|108000</v>
      </c>
      <c r="Z14" s="15"/>
      <c r="AA14" s="15"/>
      <c r="AB14" s="15">
        <v>10</v>
      </c>
      <c r="AC14" s="8">
        <f t="shared" si="11"/>
        <v>50592</v>
      </c>
      <c r="AD14" s="8">
        <f t="shared" si="12"/>
        <v>216000</v>
      </c>
      <c r="AE14" s="15" t="str">
        <f t="shared" si="13"/>
        <v>115001|50592$10001|216000</v>
      </c>
      <c r="AH14" s="19"/>
      <c r="AI14" s="19"/>
      <c r="AJ14" s="19"/>
      <c r="AK14" s="17">
        <v>12</v>
      </c>
      <c r="AL14" s="20">
        <f t="shared" si="0"/>
        <v>4988</v>
      </c>
      <c r="AN14" s="19"/>
      <c r="AO14" s="19"/>
      <c r="AP14" s="19"/>
      <c r="AQ14" s="17">
        <v>12</v>
      </c>
      <c r="AR14" s="20">
        <f t="shared" si="1"/>
        <v>19440</v>
      </c>
    </row>
    <row r="15" ht="27" customHeight="1" spans="1:44">
      <c r="A15" s="9"/>
      <c r="B15" s="9"/>
      <c r="C15" s="9">
        <v>11</v>
      </c>
      <c r="D15" s="8">
        <v>4013</v>
      </c>
      <c r="E15" s="9">
        <v>16335</v>
      </c>
      <c r="F15" s="9"/>
      <c r="G15" s="9" t="str">
        <f t="shared" si="14"/>
        <v>111001|4013$10001|16335</v>
      </c>
      <c r="H15" s="10"/>
      <c r="I15" s="10"/>
      <c r="J15" s="21">
        <v>11</v>
      </c>
      <c r="K15" s="8">
        <f t="shared" si="2"/>
        <v>8026</v>
      </c>
      <c r="L15" s="8">
        <f t="shared" si="3"/>
        <v>32670</v>
      </c>
      <c r="M15" s="10" t="str">
        <f t="shared" si="4"/>
        <v>112001|8026$10001|32670</v>
      </c>
      <c r="N15" s="12"/>
      <c r="O15" s="12"/>
      <c r="P15" s="22">
        <v>11</v>
      </c>
      <c r="Q15" s="8">
        <f t="shared" si="5"/>
        <v>16052</v>
      </c>
      <c r="R15" s="8">
        <f t="shared" si="6"/>
        <v>65340</v>
      </c>
      <c r="S15" s="12" t="str">
        <f t="shared" si="7"/>
        <v>113001|16052$10001|65340</v>
      </c>
      <c r="T15" s="14"/>
      <c r="U15" s="14"/>
      <c r="V15" s="23">
        <v>11</v>
      </c>
      <c r="W15" s="8">
        <f t="shared" si="8"/>
        <v>32104</v>
      </c>
      <c r="X15" s="8">
        <f t="shared" si="9"/>
        <v>130680</v>
      </c>
      <c r="Y15" s="14" t="str">
        <f t="shared" si="10"/>
        <v>114001|32104$10001|130680</v>
      </c>
      <c r="Z15" s="15"/>
      <c r="AA15" s="15"/>
      <c r="AB15" s="24">
        <v>11</v>
      </c>
      <c r="AC15" s="8">
        <f t="shared" si="11"/>
        <v>64208</v>
      </c>
      <c r="AD15" s="8">
        <f t="shared" si="12"/>
        <v>261360</v>
      </c>
      <c r="AE15" s="15" t="str">
        <f t="shared" si="13"/>
        <v>115001|64208$10001|261360</v>
      </c>
      <c r="AH15" s="19"/>
      <c r="AI15" s="19"/>
      <c r="AJ15" s="19"/>
      <c r="AK15" s="19">
        <v>13</v>
      </c>
      <c r="AL15" s="20">
        <f t="shared" si="0"/>
        <v>6093</v>
      </c>
      <c r="AN15" s="19"/>
      <c r="AO15" s="19"/>
      <c r="AP15" s="19"/>
      <c r="AQ15" s="19">
        <v>13</v>
      </c>
      <c r="AR15" s="20">
        <f t="shared" si="1"/>
        <v>22815</v>
      </c>
    </row>
    <row r="16" ht="27" customHeight="1" spans="1:44">
      <c r="A16" s="9"/>
      <c r="B16" s="9"/>
      <c r="C16" s="9">
        <v>12</v>
      </c>
      <c r="D16" s="8">
        <v>4988</v>
      </c>
      <c r="E16" s="9">
        <v>19440</v>
      </c>
      <c r="F16" s="9"/>
      <c r="G16" s="9" t="str">
        <f t="shared" si="14"/>
        <v>111001|4988$10001|19440</v>
      </c>
      <c r="H16" s="10"/>
      <c r="I16" s="10"/>
      <c r="J16" s="10">
        <v>12</v>
      </c>
      <c r="K16" s="8">
        <f t="shared" si="2"/>
        <v>9976</v>
      </c>
      <c r="L16" s="8">
        <f t="shared" si="3"/>
        <v>38880</v>
      </c>
      <c r="M16" s="10" t="str">
        <f t="shared" si="4"/>
        <v>112001|9976$10001|38880</v>
      </c>
      <c r="N16" s="12"/>
      <c r="O16" s="12"/>
      <c r="P16" s="12">
        <v>12</v>
      </c>
      <c r="Q16" s="8">
        <f t="shared" si="5"/>
        <v>19952</v>
      </c>
      <c r="R16" s="8">
        <f t="shared" si="6"/>
        <v>77760</v>
      </c>
      <c r="S16" s="12" t="str">
        <f t="shared" si="7"/>
        <v>113001|19952$10001|77760</v>
      </c>
      <c r="T16" s="14"/>
      <c r="U16" s="14"/>
      <c r="V16" s="14">
        <v>12</v>
      </c>
      <c r="W16" s="8">
        <f t="shared" si="8"/>
        <v>39904</v>
      </c>
      <c r="X16" s="8">
        <f t="shared" si="9"/>
        <v>155520</v>
      </c>
      <c r="Y16" s="14" t="str">
        <f t="shared" si="10"/>
        <v>114001|39904$10001|155520</v>
      </c>
      <c r="Z16" s="15"/>
      <c r="AA16" s="15"/>
      <c r="AB16" s="15">
        <v>12</v>
      </c>
      <c r="AC16" s="8">
        <f t="shared" si="11"/>
        <v>79808</v>
      </c>
      <c r="AD16" s="8">
        <f t="shared" si="12"/>
        <v>311040</v>
      </c>
      <c r="AE16" s="15" t="str">
        <f t="shared" si="13"/>
        <v>115001|79808$10001|311040</v>
      </c>
      <c r="AH16" s="19"/>
      <c r="AI16" s="19"/>
      <c r="AJ16" s="19"/>
      <c r="AK16" s="17">
        <v>14</v>
      </c>
      <c r="AL16" s="20">
        <f t="shared" si="0"/>
        <v>7334</v>
      </c>
      <c r="AN16" s="19"/>
      <c r="AO16" s="19"/>
      <c r="AP16" s="19"/>
      <c r="AQ16" s="17">
        <v>14</v>
      </c>
      <c r="AR16" s="20">
        <f t="shared" si="1"/>
        <v>26460</v>
      </c>
    </row>
    <row r="17" ht="27" customHeight="1" spans="1:44">
      <c r="A17" s="9"/>
      <c r="B17" s="9"/>
      <c r="C17" s="9">
        <v>13</v>
      </c>
      <c r="D17" s="8">
        <v>6093</v>
      </c>
      <c r="E17" s="9">
        <v>22815</v>
      </c>
      <c r="F17" s="9"/>
      <c r="G17" s="9" t="str">
        <f t="shared" si="14"/>
        <v>111001|6093$10001|22815</v>
      </c>
      <c r="H17" s="10"/>
      <c r="I17" s="10"/>
      <c r="J17" s="21">
        <v>13</v>
      </c>
      <c r="K17" s="8">
        <f t="shared" si="2"/>
        <v>12186</v>
      </c>
      <c r="L17" s="8">
        <f t="shared" si="3"/>
        <v>45630</v>
      </c>
      <c r="M17" s="10" t="str">
        <f t="shared" si="4"/>
        <v>112001|12186$10001|45630</v>
      </c>
      <c r="N17" s="12"/>
      <c r="O17" s="12"/>
      <c r="P17" s="22">
        <v>13</v>
      </c>
      <c r="Q17" s="8">
        <f t="shared" si="5"/>
        <v>24372</v>
      </c>
      <c r="R17" s="8">
        <f t="shared" si="6"/>
        <v>91260</v>
      </c>
      <c r="S17" s="12" t="str">
        <f t="shared" si="7"/>
        <v>113001|24372$10001|91260</v>
      </c>
      <c r="T17" s="14"/>
      <c r="U17" s="14"/>
      <c r="V17" s="23">
        <v>13</v>
      </c>
      <c r="W17" s="8">
        <f t="shared" si="8"/>
        <v>48744</v>
      </c>
      <c r="X17" s="8">
        <f t="shared" si="9"/>
        <v>182520</v>
      </c>
      <c r="Y17" s="14" t="str">
        <f t="shared" si="10"/>
        <v>114001|48744$10001|182520</v>
      </c>
      <c r="Z17" s="15"/>
      <c r="AA17" s="15"/>
      <c r="AB17" s="24">
        <v>13</v>
      </c>
      <c r="AC17" s="8">
        <f t="shared" si="11"/>
        <v>97488</v>
      </c>
      <c r="AD17" s="8">
        <f t="shared" si="12"/>
        <v>365040</v>
      </c>
      <c r="AE17" s="15" t="str">
        <f t="shared" si="13"/>
        <v>115001|97488$10001|365040</v>
      </c>
      <c r="AH17" s="19"/>
      <c r="AI17" s="19"/>
      <c r="AJ17" s="19"/>
      <c r="AK17" s="17">
        <v>15</v>
      </c>
      <c r="AL17" s="20">
        <f t="shared" si="0"/>
        <v>8714</v>
      </c>
      <c r="AN17" s="19"/>
      <c r="AO17" s="19"/>
      <c r="AP17" s="19"/>
      <c r="AQ17" s="17">
        <v>15</v>
      </c>
      <c r="AR17" s="20">
        <f t="shared" si="1"/>
        <v>30375</v>
      </c>
    </row>
    <row r="18" ht="27" customHeight="1" spans="1:44">
      <c r="A18" s="9"/>
      <c r="B18" s="9"/>
      <c r="C18" s="9">
        <v>14</v>
      </c>
      <c r="D18" s="8">
        <v>7334</v>
      </c>
      <c r="E18" s="9">
        <v>26460</v>
      </c>
      <c r="F18" s="9"/>
      <c r="G18" s="9" t="str">
        <f t="shared" si="14"/>
        <v>111001|7334$10001|26460</v>
      </c>
      <c r="H18" s="10"/>
      <c r="I18" s="10"/>
      <c r="J18" s="10">
        <v>14</v>
      </c>
      <c r="K18" s="8">
        <f t="shared" si="2"/>
        <v>14668</v>
      </c>
      <c r="L18" s="8">
        <f t="shared" si="3"/>
        <v>52920</v>
      </c>
      <c r="M18" s="10" t="str">
        <f t="shared" si="4"/>
        <v>112001|14668$10001|52920</v>
      </c>
      <c r="N18" s="12"/>
      <c r="O18" s="12"/>
      <c r="P18" s="12">
        <v>14</v>
      </c>
      <c r="Q18" s="8">
        <f t="shared" si="5"/>
        <v>29336</v>
      </c>
      <c r="R18" s="8">
        <f t="shared" si="6"/>
        <v>105840</v>
      </c>
      <c r="S18" s="12" t="str">
        <f t="shared" si="7"/>
        <v>113001|29336$10001|105840</v>
      </c>
      <c r="T18" s="14"/>
      <c r="U18" s="14"/>
      <c r="V18" s="14">
        <v>14</v>
      </c>
      <c r="W18" s="8">
        <f t="shared" si="8"/>
        <v>58672</v>
      </c>
      <c r="X18" s="8">
        <f t="shared" si="9"/>
        <v>211680</v>
      </c>
      <c r="Y18" s="14" t="str">
        <f t="shared" si="10"/>
        <v>114001|58672$10001|211680</v>
      </c>
      <c r="Z18" s="15"/>
      <c r="AA18" s="15"/>
      <c r="AB18" s="15">
        <v>14</v>
      </c>
      <c r="AC18" s="8">
        <f t="shared" si="11"/>
        <v>117344</v>
      </c>
      <c r="AD18" s="8">
        <f t="shared" si="12"/>
        <v>423360</v>
      </c>
      <c r="AE18" s="15" t="str">
        <f t="shared" si="13"/>
        <v>115001|117344$10001|423360</v>
      </c>
      <c r="AH18" s="19"/>
      <c r="AI18" s="19"/>
      <c r="AJ18" s="19"/>
      <c r="AK18" s="17">
        <v>16</v>
      </c>
      <c r="AL18" s="20">
        <f t="shared" si="0"/>
        <v>10240</v>
      </c>
      <c r="AN18" s="19"/>
      <c r="AO18" s="19"/>
      <c r="AP18" s="19"/>
      <c r="AQ18" s="17">
        <v>16</v>
      </c>
      <c r="AR18" s="20">
        <f t="shared" si="1"/>
        <v>34560</v>
      </c>
    </row>
    <row r="19" ht="27" customHeight="1" spans="1:44">
      <c r="A19" s="9"/>
      <c r="B19" s="9"/>
      <c r="C19" s="9">
        <v>15</v>
      </c>
      <c r="D19" s="8">
        <v>8714</v>
      </c>
      <c r="E19" s="9">
        <v>30375</v>
      </c>
      <c r="F19" s="9"/>
      <c r="G19" s="9" t="str">
        <f t="shared" si="14"/>
        <v>111001|8714$10001|30375</v>
      </c>
      <c r="H19" s="10"/>
      <c r="I19" s="10"/>
      <c r="J19" s="21">
        <v>15</v>
      </c>
      <c r="K19" s="8">
        <f t="shared" si="2"/>
        <v>17428</v>
      </c>
      <c r="L19" s="8">
        <f t="shared" si="3"/>
        <v>60750</v>
      </c>
      <c r="M19" s="10" t="str">
        <f t="shared" si="4"/>
        <v>112001|17428$10001|60750</v>
      </c>
      <c r="N19" s="12"/>
      <c r="O19" s="12"/>
      <c r="P19" s="22">
        <v>15</v>
      </c>
      <c r="Q19" s="8">
        <f t="shared" si="5"/>
        <v>34856</v>
      </c>
      <c r="R19" s="8">
        <f t="shared" si="6"/>
        <v>121500</v>
      </c>
      <c r="S19" s="12" t="str">
        <f t="shared" si="7"/>
        <v>113001|34856$10001|121500</v>
      </c>
      <c r="T19" s="14"/>
      <c r="U19" s="14"/>
      <c r="V19" s="23">
        <v>15</v>
      </c>
      <c r="W19" s="8">
        <f t="shared" si="8"/>
        <v>69712</v>
      </c>
      <c r="X19" s="8">
        <f t="shared" si="9"/>
        <v>243000</v>
      </c>
      <c r="Y19" s="14" t="str">
        <f t="shared" si="10"/>
        <v>114001|69712$10001|243000</v>
      </c>
      <c r="Z19" s="15"/>
      <c r="AA19" s="15"/>
      <c r="AB19" s="24">
        <v>15</v>
      </c>
      <c r="AC19" s="8">
        <f t="shared" si="11"/>
        <v>139424</v>
      </c>
      <c r="AD19" s="8">
        <f t="shared" si="12"/>
        <v>486000</v>
      </c>
      <c r="AE19" s="15" t="str">
        <f t="shared" si="13"/>
        <v>115001|139424$10001|486000</v>
      </c>
      <c r="AH19" s="19"/>
      <c r="AI19" s="19"/>
      <c r="AJ19" s="19"/>
      <c r="AK19" s="17">
        <v>17</v>
      </c>
      <c r="AL19" s="20">
        <f t="shared" si="0"/>
        <v>11916</v>
      </c>
      <c r="AN19" s="19"/>
      <c r="AO19" s="19"/>
      <c r="AP19" s="19"/>
      <c r="AQ19" s="17">
        <v>17</v>
      </c>
      <c r="AR19" s="20">
        <f t="shared" si="1"/>
        <v>39015</v>
      </c>
    </row>
    <row r="20" ht="27" customHeight="1" spans="1:44">
      <c r="A20" s="9"/>
      <c r="B20" s="9"/>
      <c r="C20" s="9">
        <v>16</v>
      </c>
      <c r="D20" s="8">
        <v>10240</v>
      </c>
      <c r="E20" s="9">
        <v>34560</v>
      </c>
      <c r="F20" s="9"/>
      <c r="G20" s="9" t="str">
        <f t="shared" si="14"/>
        <v>111001|10240$10001|34560</v>
      </c>
      <c r="H20" s="10"/>
      <c r="I20" s="10"/>
      <c r="J20" s="10">
        <v>16</v>
      </c>
      <c r="K20" s="8">
        <f t="shared" si="2"/>
        <v>20480</v>
      </c>
      <c r="L20" s="8">
        <f t="shared" si="3"/>
        <v>69120</v>
      </c>
      <c r="M20" s="10" t="str">
        <f t="shared" si="4"/>
        <v>112001|20480$10001|69120</v>
      </c>
      <c r="N20" s="12"/>
      <c r="O20" s="12"/>
      <c r="P20" s="12">
        <v>16</v>
      </c>
      <c r="Q20" s="8">
        <f t="shared" si="5"/>
        <v>40960</v>
      </c>
      <c r="R20" s="8">
        <f t="shared" si="6"/>
        <v>138240</v>
      </c>
      <c r="S20" s="12" t="str">
        <f t="shared" si="7"/>
        <v>113001|40960$10001|138240</v>
      </c>
      <c r="T20" s="14"/>
      <c r="U20" s="14"/>
      <c r="V20" s="14">
        <v>16</v>
      </c>
      <c r="W20" s="8">
        <f t="shared" si="8"/>
        <v>81920</v>
      </c>
      <c r="X20" s="8">
        <f t="shared" si="9"/>
        <v>276480</v>
      </c>
      <c r="Y20" s="14" t="str">
        <f t="shared" si="10"/>
        <v>114001|81920$10001|276480</v>
      </c>
      <c r="Z20" s="15"/>
      <c r="AA20" s="15"/>
      <c r="AB20" s="15">
        <v>16</v>
      </c>
      <c r="AC20" s="8">
        <f t="shared" si="11"/>
        <v>163840</v>
      </c>
      <c r="AD20" s="8">
        <f t="shared" si="12"/>
        <v>552960</v>
      </c>
      <c r="AE20" s="15" t="str">
        <f t="shared" si="13"/>
        <v>115001|163840$10001|552960</v>
      </c>
      <c r="AH20" s="19"/>
      <c r="AI20" s="19"/>
      <c r="AJ20" s="19"/>
      <c r="AK20" s="17">
        <v>18</v>
      </c>
      <c r="AL20" s="20">
        <f t="shared" si="0"/>
        <v>13746</v>
      </c>
      <c r="AN20" s="19"/>
      <c r="AO20" s="19"/>
      <c r="AP20" s="19"/>
      <c r="AQ20" s="17">
        <v>18</v>
      </c>
      <c r="AR20" s="20">
        <f t="shared" si="1"/>
        <v>43740</v>
      </c>
    </row>
    <row r="21" ht="27" customHeight="1" spans="1:44">
      <c r="A21" s="9"/>
      <c r="B21" s="9"/>
      <c r="C21" s="9">
        <v>17</v>
      </c>
      <c r="D21" s="8">
        <v>11916</v>
      </c>
      <c r="E21" s="9">
        <v>39015</v>
      </c>
      <c r="F21" s="9"/>
      <c r="G21" s="9" t="str">
        <f t="shared" si="14"/>
        <v>111001|11916$10001|39015</v>
      </c>
      <c r="H21" s="10"/>
      <c r="I21" s="10"/>
      <c r="J21" s="21">
        <v>17</v>
      </c>
      <c r="K21" s="8">
        <f t="shared" si="2"/>
        <v>23832</v>
      </c>
      <c r="L21" s="8">
        <f t="shared" si="3"/>
        <v>78030</v>
      </c>
      <c r="M21" s="10" t="str">
        <f t="shared" si="4"/>
        <v>112001|23832$10001|78030</v>
      </c>
      <c r="N21" s="12"/>
      <c r="O21" s="12"/>
      <c r="P21" s="22">
        <v>17</v>
      </c>
      <c r="Q21" s="8">
        <f t="shared" si="5"/>
        <v>47664</v>
      </c>
      <c r="R21" s="8">
        <f t="shared" si="6"/>
        <v>156060</v>
      </c>
      <c r="S21" s="12" t="str">
        <f t="shared" si="7"/>
        <v>113001|47664$10001|156060</v>
      </c>
      <c r="T21" s="14"/>
      <c r="U21" s="14"/>
      <c r="V21" s="23">
        <v>17</v>
      </c>
      <c r="W21" s="8">
        <f t="shared" si="8"/>
        <v>95328</v>
      </c>
      <c r="X21" s="8">
        <f t="shared" si="9"/>
        <v>312120</v>
      </c>
      <c r="Y21" s="14" t="str">
        <f t="shared" si="10"/>
        <v>114001|95328$10001|312120</v>
      </c>
      <c r="Z21" s="15"/>
      <c r="AA21" s="15"/>
      <c r="AB21" s="24">
        <v>17</v>
      </c>
      <c r="AC21" s="8">
        <f t="shared" si="11"/>
        <v>190656</v>
      </c>
      <c r="AD21" s="8">
        <f t="shared" si="12"/>
        <v>624240</v>
      </c>
      <c r="AE21" s="15" t="str">
        <f t="shared" si="13"/>
        <v>115001|190656$10001|624240</v>
      </c>
      <c r="AH21" s="19"/>
      <c r="AI21" s="19"/>
      <c r="AJ21" s="19"/>
      <c r="AK21" s="17">
        <v>19</v>
      </c>
      <c r="AL21" s="20">
        <f t="shared" si="0"/>
        <v>15736</v>
      </c>
      <c r="AN21" s="19"/>
      <c r="AO21" s="19"/>
      <c r="AP21" s="19"/>
      <c r="AQ21" s="17">
        <v>19</v>
      </c>
      <c r="AR21" s="20">
        <f t="shared" si="1"/>
        <v>48735</v>
      </c>
    </row>
    <row r="22" ht="27" customHeight="1" spans="1:44">
      <c r="A22" s="9"/>
      <c r="B22" s="9"/>
      <c r="C22" s="9">
        <v>18</v>
      </c>
      <c r="D22" s="8">
        <v>13746</v>
      </c>
      <c r="E22" s="9">
        <v>43740</v>
      </c>
      <c r="F22" s="9"/>
      <c r="G22" s="9" t="str">
        <f t="shared" si="14"/>
        <v>111001|13746$10001|43740</v>
      </c>
      <c r="H22" s="10"/>
      <c r="I22" s="10"/>
      <c r="J22" s="10">
        <v>18</v>
      </c>
      <c r="K22" s="8">
        <f t="shared" si="2"/>
        <v>27492</v>
      </c>
      <c r="L22" s="8">
        <f t="shared" si="3"/>
        <v>87480</v>
      </c>
      <c r="M22" s="10" t="str">
        <f t="shared" si="4"/>
        <v>112001|27492$10001|87480</v>
      </c>
      <c r="N22" s="12"/>
      <c r="O22" s="12"/>
      <c r="P22" s="12">
        <v>18</v>
      </c>
      <c r="Q22" s="8">
        <f t="shared" si="5"/>
        <v>54984</v>
      </c>
      <c r="R22" s="8">
        <f t="shared" si="6"/>
        <v>174960</v>
      </c>
      <c r="S22" s="12" t="str">
        <f t="shared" si="7"/>
        <v>113001|54984$10001|174960</v>
      </c>
      <c r="T22" s="14"/>
      <c r="U22" s="14"/>
      <c r="V22" s="14">
        <v>18</v>
      </c>
      <c r="W22" s="8">
        <f t="shared" si="8"/>
        <v>109968</v>
      </c>
      <c r="X22" s="8">
        <f t="shared" si="9"/>
        <v>349920</v>
      </c>
      <c r="Y22" s="14" t="str">
        <f t="shared" si="10"/>
        <v>114001|109968$10001|349920</v>
      </c>
      <c r="Z22" s="15"/>
      <c r="AA22" s="15"/>
      <c r="AB22" s="15">
        <v>18</v>
      </c>
      <c r="AC22" s="8">
        <f t="shared" si="11"/>
        <v>219936</v>
      </c>
      <c r="AD22" s="8">
        <f t="shared" si="12"/>
        <v>699840</v>
      </c>
      <c r="AE22" s="15" t="str">
        <f t="shared" si="13"/>
        <v>115001|219936$10001|699840</v>
      </c>
      <c r="AH22" s="19"/>
      <c r="AI22" s="19"/>
      <c r="AJ22" s="19"/>
      <c r="AK22" s="17">
        <v>20</v>
      </c>
      <c r="AL22" s="20">
        <f t="shared" si="0"/>
        <v>17889</v>
      </c>
      <c r="AN22" s="19"/>
      <c r="AO22" s="19"/>
      <c r="AP22" s="19"/>
      <c r="AQ22" s="17">
        <v>20</v>
      </c>
      <c r="AR22" s="20">
        <f t="shared" si="1"/>
        <v>54000</v>
      </c>
    </row>
    <row r="23" ht="27" customHeight="1" spans="1:44">
      <c r="A23" s="9"/>
      <c r="B23" s="9"/>
      <c r="C23" s="9">
        <v>19</v>
      </c>
      <c r="D23" s="8">
        <v>15736</v>
      </c>
      <c r="E23" s="9">
        <v>48735</v>
      </c>
      <c r="F23" s="9"/>
      <c r="G23" s="9" t="str">
        <f t="shared" si="14"/>
        <v>111001|15736$10001|48735</v>
      </c>
      <c r="H23" s="10"/>
      <c r="I23" s="10"/>
      <c r="J23" s="21">
        <v>19</v>
      </c>
      <c r="K23" s="8">
        <f t="shared" si="2"/>
        <v>31472</v>
      </c>
      <c r="L23" s="8">
        <f t="shared" si="3"/>
        <v>97470</v>
      </c>
      <c r="M23" s="10" t="str">
        <f t="shared" si="4"/>
        <v>112001|31472$10001|97470</v>
      </c>
      <c r="N23" s="12"/>
      <c r="O23" s="12"/>
      <c r="P23" s="22">
        <v>19</v>
      </c>
      <c r="Q23" s="8">
        <f t="shared" si="5"/>
        <v>62944</v>
      </c>
      <c r="R23" s="8">
        <f t="shared" si="6"/>
        <v>194940</v>
      </c>
      <c r="S23" s="12" t="str">
        <f t="shared" si="7"/>
        <v>113001|62944$10001|194940</v>
      </c>
      <c r="T23" s="14"/>
      <c r="U23" s="14"/>
      <c r="V23" s="23">
        <v>19</v>
      </c>
      <c r="W23" s="8">
        <f t="shared" si="8"/>
        <v>125888</v>
      </c>
      <c r="X23" s="8">
        <f t="shared" si="9"/>
        <v>389880</v>
      </c>
      <c r="Y23" s="14" t="str">
        <f t="shared" si="10"/>
        <v>114001|125888$10001|389880</v>
      </c>
      <c r="Z23" s="15"/>
      <c r="AA23" s="15"/>
      <c r="AB23" s="24">
        <v>19</v>
      </c>
      <c r="AC23" s="8">
        <f t="shared" si="11"/>
        <v>251776</v>
      </c>
      <c r="AD23" s="8">
        <f t="shared" si="12"/>
        <v>779760</v>
      </c>
      <c r="AE23" s="15" t="str">
        <f t="shared" si="13"/>
        <v>115001|251776$10001|779760</v>
      </c>
      <c r="AH23" s="19"/>
      <c r="AI23" s="19"/>
      <c r="AJ23" s="19"/>
      <c r="AK23" s="17">
        <v>21</v>
      </c>
      <c r="AL23" s="20">
        <f t="shared" si="0"/>
        <v>20209</v>
      </c>
      <c r="AN23" s="19"/>
      <c r="AO23" s="19"/>
      <c r="AP23" s="19"/>
      <c r="AQ23" s="17">
        <v>21</v>
      </c>
      <c r="AR23" s="20">
        <f t="shared" si="1"/>
        <v>59535</v>
      </c>
    </row>
    <row r="24" ht="27" customHeight="1" spans="1:44">
      <c r="A24" s="9"/>
      <c r="B24" s="9"/>
      <c r="C24" s="9">
        <v>20</v>
      </c>
      <c r="D24" s="8">
        <v>17889</v>
      </c>
      <c r="E24" s="9">
        <v>54000</v>
      </c>
      <c r="F24" s="9"/>
      <c r="G24" s="9" t="str">
        <f t="shared" si="14"/>
        <v>111001|17889$10001|54000</v>
      </c>
      <c r="H24" s="10"/>
      <c r="I24" s="10"/>
      <c r="J24" s="10">
        <v>20</v>
      </c>
      <c r="K24" s="8">
        <f t="shared" si="2"/>
        <v>35778</v>
      </c>
      <c r="L24" s="8">
        <f t="shared" si="3"/>
        <v>108000</v>
      </c>
      <c r="M24" s="10" t="str">
        <f t="shared" si="4"/>
        <v>112001|35778$10001|108000</v>
      </c>
      <c r="N24" s="12"/>
      <c r="O24" s="12"/>
      <c r="P24" s="12">
        <v>20</v>
      </c>
      <c r="Q24" s="8">
        <f t="shared" si="5"/>
        <v>71556</v>
      </c>
      <c r="R24" s="8">
        <f t="shared" si="6"/>
        <v>216000</v>
      </c>
      <c r="S24" s="12" t="str">
        <f t="shared" si="7"/>
        <v>113001|71556$10001|216000</v>
      </c>
      <c r="T24" s="14"/>
      <c r="U24" s="14"/>
      <c r="V24" s="14">
        <v>20</v>
      </c>
      <c r="W24" s="8">
        <f t="shared" si="8"/>
        <v>143112</v>
      </c>
      <c r="X24" s="8">
        <f t="shared" si="9"/>
        <v>432000</v>
      </c>
      <c r="Y24" s="14" t="str">
        <f t="shared" si="10"/>
        <v>114001|143112$10001|432000</v>
      </c>
      <c r="Z24" s="15"/>
      <c r="AA24" s="15"/>
      <c r="AB24" s="15">
        <v>20</v>
      </c>
      <c r="AC24" s="8">
        <f t="shared" si="11"/>
        <v>286224</v>
      </c>
      <c r="AD24" s="8">
        <f t="shared" si="12"/>
        <v>864000</v>
      </c>
      <c r="AE24" s="15" t="str">
        <f t="shared" si="13"/>
        <v>115001|286224$10001|864000</v>
      </c>
      <c r="AH24" s="19"/>
      <c r="AI24" s="19"/>
      <c r="AJ24" s="19"/>
      <c r="AK24" s="17">
        <v>22</v>
      </c>
      <c r="AL24" s="20">
        <f t="shared" si="0"/>
        <v>22702</v>
      </c>
      <c r="AN24" s="19"/>
      <c r="AO24" s="19"/>
      <c r="AP24" s="19"/>
      <c r="AQ24" s="17">
        <v>22</v>
      </c>
      <c r="AR24" s="20">
        <f t="shared" si="1"/>
        <v>65340</v>
      </c>
    </row>
    <row r="25" ht="27" customHeight="1" spans="1:44">
      <c r="A25" s="9"/>
      <c r="B25" s="9"/>
      <c r="C25" s="9">
        <v>21</v>
      </c>
      <c r="D25" s="8">
        <v>20209</v>
      </c>
      <c r="E25" s="9">
        <v>59535</v>
      </c>
      <c r="F25" s="9"/>
      <c r="G25" s="9" t="str">
        <f t="shared" si="14"/>
        <v>111001|20209$10001|59535</v>
      </c>
      <c r="H25" s="10"/>
      <c r="I25" s="10"/>
      <c r="J25" s="21">
        <v>21</v>
      </c>
      <c r="K25" s="8">
        <f t="shared" si="2"/>
        <v>40418</v>
      </c>
      <c r="L25" s="8">
        <f t="shared" si="3"/>
        <v>119070</v>
      </c>
      <c r="M25" s="10" t="str">
        <f t="shared" si="4"/>
        <v>112001|40418$10001|119070</v>
      </c>
      <c r="N25" s="12"/>
      <c r="O25" s="12"/>
      <c r="P25" s="22">
        <v>21</v>
      </c>
      <c r="Q25" s="8">
        <f t="shared" si="5"/>
        <v>80836</v>
      </c>
      <c r="R25" s="8">
        <f t="shared" si="6"/>
        <v>238140</v>
      </c>
      <c r="S25" s="12" t="str">
        <f t="shared" si="7"/>
        <v>113001|80836$10001|238140</v>
      </c>
      <c r="T25" s="14"/>
      <c r="U25" s="14"/>
      <c r="V25" s="23">
        <v>21</v>
      </c>
      <c r="W25" s="8">
        <f t="shared" si="8"/>
        <v>161672</v>
      </c>
      <c r="X25" s="8">
        <f t="shared" si="9"/>
        <v>476280</v>
      </c>
      <c r="Y25" s="14" t="str">
        <f t="shared" si="10"/>
        <v>114001|161672$10001|476280</v>
      </c>
      <c r="Z25" s="15"/>
      <c r="AA25" s="15"/>
      <c r="AB25" s="24">
        <v>21</v>
      </c>
      <c r="AC25" s="8">
        <f t="shared" si="11"/>
        <v>323344</v>
      </c>
      <c r="AD25" s="8">
        <f t="shared" si="12"/>
        <v>952560</v>
      </c>
      <c r="AE25" s="15" t="str">
        <f t="shared" si="13"/>
        <v>115001|323344$10001|952560</v>
      </c>
      <c r="AH25" s="19"/>
      <c r="AI25" s="19"/>
      <c r="AJ25" s="19"/>
      <c r="AK25" s="17">
        <v>23</v>
      </c>
      <c r="AL25" s="20">
        <f t="shared" si="0"/>
        <v>25370</v>
      </c>
      <c r="AN25" s="19"/>
      <c r="AO25" s="19"/>
      <c r="AP25" s="19"/>
      <c r="AQ25" s="17">
        <v>23</v>
      </c>
      <c r="AR25" s="20">
        <f t="shared" si="1"/>
        <v>71415</v>
      </c>
    </row>
    <row r="26" ht="27" customHeight="1" spans="1:44">
      <c r="A26" s="9"/>
      <c r="B26" s="9"/>
      <c r="C26" s="9">
        <v>22</v>
      </c>
      <c r="D26" s="8">
        <v>22702</v>
      </c>
      <c r="E26" s="9">
        <v>65340</v>
      </c>
      <c r="F26" s="9"/>
      <c r="G26" s="9" t="str">
        <f t="shared" si="14"/>
        <v>111001|22702$10001|65340</v>
      </c>
      <c r="H26" s="10"/>
      <c r="I26" s="10"/>
      <c r="J26" s="10">
        <v>22</v>
      </c>
      <c r="K26" s="8">
        <f t="shared" si="2"/>
        <v>45404</v>
      </c>
      <c r="L26" s="8">
        <f t="shared" si="3"/>
        <v>130680</v>
      </c>
      <c r="M26" s="10" t="str">
        <f t="shared" si="4"/>
        <v>112001|45404$10001|130680</v>
      </c>
      <c r="N26" s="12"/>
      <c r="O26" s="12"/>
      <c r="P26" s="12">
        <v>22</v>
      </c>
      <c r="Q26" s="8">
        <f t="shared" si="5"/>
        <v>90808</v>
      </c>
      <c r="R26" s="8">
        <f t="shared" si="6"/>
        <v>261360</v>
      </c>
      <c r="S26" s="12" t="str">
        <f t="shared" si="7"/>
        <v>113001|90808$10001|261360</v>
      </c>
      <c r="T26" s="14"/>
      <c r="U26" s="14"/>
      <c r="V26" s="14">
        <v>22</v>
      </c>
      <c r="W26" s="8">
        <f t="shared" si="8"/>
        <v>181616</v>
      </c>
      <c r="X26" s="8">
        <f t="shared" si="9"/>
        <v>522720</v>
      </c>
      <c r="Y26" s="14" t="str">
        <f t="shared" si="10"/>
        <v>114001|181616$10001|522720</v>
      </c>
      <c r="Z26" s="15"/>
      <c r="AA26" s="15"/>
      <c r="AB26" s="15">
        <v>22</v>
      </c>
      <c r="AC26" s="8">
        <f t="shared" si="11"/>
        <v>363232</v>
      </c>
      <c r="AD26" s="8">
        <f t="shared" si="12"/>
        <v>1045440</v>
      </c>
      <c r="AE26" s="15" t="str">
        <f t="shared" si="13"/>
        <v>115001|363232$10001|1045440</v>
      </c>
      <c r="AH26" s="19"/>
      <c r="AI26" s="19"/>
      <c r="AJ26" s="19"/>
      <c r="AK26" s="17">
        <v>24</v>
      </c>
      <c r="AL26" s="20">
        <f t="shared" si="0"/>
        <v>28218</v>
      </c>
      <c r="AN26" s="19"/>
      <c r="AO26" s="19"/>
      <c r="AP26" s="19"/>
      <c r="AQ26" s="17">
        <v>24</v>
      </c>
      <c r="AR26" s="20">
        <f t="shared" si="1"/>
        <v>77760</v>
      </c>
    </row>
    <row r="27" ht="27" customHeight="1" spans="1:44">
      <c r="A27" s="9"/>
      <c r="B27" s="9"/>
      <c r="C27" s="9">
        <v>23</v>
      </c>
      <c r="D27" s="8">
        <v>25370</v>
      </c>
      <c r="E27" s="9">
        <v>71415</v>
      </c>
      <c r="F27" s="9"/>
      <c r="G27" s="9" t="str">
        <f t="shared" si="14"/>
        <v>111001|25370$10001|71415</v>
      </c>
      <c r="H27" s="10"/>
      <c r="I27" s="10"/>
      <c r="J27" s="21">
        <v>23</v>
      </c>
      <c r="K27" s="8">
        <f t="shared" si="2"/>
        <v>50740</v>
      </c>
      <c r="L27" s="8">
        <f t="shared" si="3"/>
        <v>142830</v>
      </c>
      <c r="M27" s="10" t="str">
        <f t="shared" si="4"/>
        <v>112001|50740$10001|142830</v>
      </c>
      <c r="N27" s="12"/>
      <c r="O27" s="12"/>
      <c r="P27" s="22">
        <v>23</v>
      </c>
      <c r="Q27" s="8">
        <f t="shared" si="5"/>
        <v>101480</v>
      </c>
      <c r="R27" s="8">
        <f t="shared" si="6"/>
        <v>285660</v>
      </c>
      <c r="S27" s="12" t="str">
        <f t="shared" si="7"/>
        <v>113001|101480$10001|285660</v>
      </c>
      <c r="T27" s="14"/>
      <c r="U27" s="14"/>
      <c r="V27" s="23">
        <v>23</v>
      </c>
      <c r="W27" s="8">
        <f t="shared" si="8"/>
        <v>202960</v>
      </c>
      <c r="X27" s="8">
        <f t="shared" si="9"/>
        <v>571320</v>
      </c>
      <c r="Y27" s="14" t="str">
        <f t="shared" si="10"/>
        <v>114001|202960$10001|571320</v>
      </c>
      <c r="Z27" s="15"/>
      <c r="AA27" s="15"/>
      <c r="AB27" s="24">
        <v>23</v>
      </c>
      <c r="AC27" s="8">
        <f t="shared" si="11"/>
        <v>405920</v>
      </c>
      <c r="AD27" s="8">
        <f t="shared" si="12"/>
        <v>1142640</v>
      </c>
      <c r="AE27" s="15" t="str">
        <f t="shared" si="13"/>
        <v>115001|405920$10001|1142640</v>
      </c>
      <c r="AH27" s="19"/>
      <c r="AI27" s="19"/>
      <c r="AJ27" s="19"/>
      <c r="AK27" s="17">
        <v>25</v>
      </c>
      <c r="AL27" s="20">
        <f t="shared" si="0"/>
        <v>31250</v>
      </c>
      <c r="AN27" s="19"/>
      <c r="AO27" s="19"/>
      <c r="AP27" s="19"/>
      <c r="AQ27" s="17">
        <v>25</v>
      </c>
      <c r="AR27" s="20">
        <f t="shared" si="1"/>
        <v>84375</v>
      </c>
    </row>
    <row r="28" ht="27" customHeight="1" spans="1:44">
      <c r="A28" s="9"/>
      <c r="B28" s="9"/>
      <c r="C28" s="9">
        <v>24</v>
      </c>
      <c r="D28" s="8">
        <v>28218</v>
      </c>
      <c r="E28" s="9">
        <v>77760</v>
      </c>
      <c r="F28" s="9"/>
      <c r="G28" s="9" t="str">
        <f t="shared" si="14"/>
        <v>111001|28218$10001|77760</v>
      </c>
      <c r="H28" s="10"/>
      <c r="I28" s="10"/>
      <c r="J28" s="10">
        <v>24</v>
      </c>
      <c r="K28" s="8">
        <f t="shared" si="2"/>
        <v>56436</v>
      </c>
      <c r="L28" s="8">
        <f t="shared" si="3"/>
        <v>155520</v>
      </c>
      <c r="M28" s="10" t="str">
        <f t="shared" si="4"/>
        <v>112001|56436$10001|155520</v>
      </c>
      <c r="N28" s="12"/>
      <c r="O28" s="12"/>
      <c r="P28" s="12">
        <v>24</v>
      </c>
      <c r="Q28" s="8">
        <f t="shared" si="5"/>
        <v>112872</v>
      </c>
      <c r="R28" s="8">
        <f t="shared" si="6"/>
        <v>311040</v>
      </c>
      <c r="S28" s="12" t="str">
        <f t="shared" si="7"/>
        <v>113001|112872$10001|311040</v>
      </c>
      <c r="T28" s="14"/>
      <c r="U28" s="14"/>
      <c r="V28" s="14">
        <v>24</v>
      </c>
      <c r="W28" s="8">
        <f t="shared" si="8"/>
        <v>225744</v>
      </c>
      <c r="X28" s="8">
        <f t="shared" si="9"/>
        <v>622080</v>
      </c>
      <c r="Y28" s="14" t="str">
        <f t="shared" si="10"/>
        <v>114001|225744$10001|622080</v>
      </c>
      <c r="Z28" s="15"/>
      <c r="AA28" s="15"/>
      <c r="AB28" s="15">
        <v>24</v>
      </c>
      <c r="AC28" s="8">
        <f t="shared" si="11"/>
        <v>451488</v>
      </c>
      <c r="AD28" s="8">
        <f t="shared" si="12"/>
        <v>1244160</v>
      </c>
      <c r="AE28" s="15" t="str">
        <f t="shared" si="13"/>
        <v>115001|451488$10001|1244160</v>
      </c>
    </row>
    <row r="29" ht="27" customHeight="1" spans="1:44">
      <c r="A29" s="9"/>
      <c r="B29" s="9"/>
      <c r="C29" s="9">
        <v>25</v>
      </c>
      <c r="D29" s="8">
        <v>31250</v>
      </c>
      <c r="E29" s="9">
        <v>84375</v>
      </c>
      <c r="F29" s="9"/>
      <c r="G29" s="9" t="str">
        <f t="shared" si="14"/>
        <v>111001|31250$10001|84375</v>
      </c>
      <c r="H29" s="10"/>
      <c r="I29" s="10"/>
      <c r="J29" s="21">
        <v>25</v>
      </c>
      <c r="K29" s="8">
        <f t="shared" si="2"/>
        <v>62500</v>
      </c>
      <c r="L29" s="8">
        <f t="shared" si="3"/>
        <v>168750</v>
      </c>
      <c r="M29" s="10" t="str">
        <f t="shared" si="4"/>
        <v>112001|62500$10001|168750</v>
      </c>
      <c r="N29" s="12"/>
      <c r="O29" s="12"/>
      <c r="P29" s="22">
        <v>25</v>
      </c>
      <c r="Q29" s="8">
        <f t="shared" si="5"/>
        <v>125000</v>
      </c>
      <c r="R29" s="8">
        <f t="shared" si="6"/>
        <v>337500</v>
      </c>
      <c r="S29" s="12" t="str">
        <f t="shared" si="7"/>
        <v>113001|125000$10001|337500</v>
      </c>
      <c r="T29" s="14"/>
      <c r="U29" s="14"/>
      <c r="V29" s="23">
        <v>25</v>
      </c>
      <c r="W29" s="8">
        <f t="shared" si="8"/>
        <v>250000</v>
      </c>
      <c r="X29" s="8">
        <f t="shared" si="9"/>
        <v>675000</v>
      </c>
      <c r="Y29" s="14" t="str">
        <f t="shared" si="10"/>
        <v>114001|250000$10001|675000</v>
      </c>
      <c r="Z29" s="15"/>
      <c r="AA29" s="15"/>
      <c r="AB29" s="24">
        <v>25</v>
      </c>
      <c r="AC29" s="8">
        <f t="shared" si="11"/>
        <v>500000</v>
      </c>
      <c r="AD29" s="8">
        <f t="shared" si="12"/>
        <v>1350000</v>
      </c>
      <c r="AE29" s="15" t="str">
        <f t="shared" si="13"/>
        <v>115001|500000$10001|1350000</v>
      </c>
    </row>
    <row r="30" ht="391.5" customHeight="1" spans="1:44">
      <c r="G30" s="9" t="str">
        <f>G5&amp;","&amp;G6&amp;","&amp;G7&amp;","&amp;G8&amp;","&amp;G9&amp;","&amp;G10&amp;","&amp;G11&amp;","&amp;G12&amp;","&amp;G13&amp;","&amp;G14&amp;","&amp;G15&amp;","&amp;G16&amp;","&amp;G17&amp;","&amp;G18&amp;","&amp;G19&amp;","&amp;G20&amp;","&amp;G21&amp;","&amp;G22&amp;","&amp;G23&amp;","&amp;G24&amp;","&amp;G25&amp;","&amp;G26&amp;","&amp;G27&amp;","&amp;G28&amp;","&amp;G29</f>
        <v>111001|10$10001|135,111001|57$10001|540,111001|156$10001|1215,111001|320$10001|2160,111001|559$10001|3375,111001|882$10001|4860,111001|1296$10001|6615,111001|1810$10001|8640,111001|2430$10001|10935,111001|3162$10001|13500,111001|4013$10001|16335,111001|4988$10001|19440,111001|6093$10001|22815,111001|7334$10001|26460,111001|8714$10001|30375,111001|10240$10001|34560,111001|11916$10001|39015,111001|13746$10001|43740,111001|15736$10001|48735,111001|17889$10001|54000,111001|20209$10001|59535,111001|22702$10001|65340,111001|25370$10001|71415,111001|28218$10001|77760,111001|31250$10001|84375</v>
      </c>
      <c r="L30" s="7">
        <v>1.5</v>
      </c>
      <c r="M30" s="10" t="str">
        <f>M5&amp;","&amp;M6&amp;","&amp;M7&amp;","&amp;M8&amp;","&amp;M9&amp;","&amp;M10&amp;","&amp;M11&amp;","&amp;M12&amp;","&amp;M13&amp;","&amp;M14&amp;","&amp;M15&amp;","&amp;M16&amp;","&amp;M17&amp;","&amp;M18&amp;","&amp;M19&amp;","&amp;M20&amp;","&amp;M21&amp;","&amp;M22&amp;","&amp;M23&amp;","&amp;M24&amp;","&amp;M25&amp;","&amp;M26&amp;","&amp;M27&amp;","&amp;M28&amp;","&amp;M29</f>
        <v>112001|20$10001|270,112001|114$10001|1080,112001|312$10001|2430,112001|640$10001|4320,112001|1118$10001|6750,112001|1764$10001|9720,112001|2592$10001|13230,112001|3620$10001|17280,112001|4860$10001|21870,112001|6324$10001|27000,112001|8026$10001|32670,112001|9976$10001|38880,112001|12186$10001|45630,112001|14668$10001|52920,112001|17428$10001|60750,112001|20480$10001|69120,112001|23832$10001|78030,112001|27492$10001|87480,112001|31472$10001|97470,112001|35778$10001|108000,112001|40418$10001|119070,112001|45404$10001|130680,112001|50740$10001|142830,112001|56436$10001|155520,112001|62500$10001|168750</v>
      </c>
      <c r="S30" s="12" t="str">
        <f>S5&amp;","&amp;S6&amp;","&amp;S7&amp;","&amp;S8&amp;","&amp;S9&amp;","&amp;S10&amp;","&amp;S11&amp;","&amp;S12&amp;","&amp;S13&amp;","&amp;S14&amp;","&amp;S15&amp;","&amp;S16&amp;","&amp;S17&amp;","&amp;S18&amp;","&amp;S19&amp;","&amp;S20&amp;","&amp;S21&amp;","&amp;S22&amp;","&amp;S23&amp;","&amp;S24&amp;","&amp;S25&amp;","&amp;S26&amp;","&amp;S27&amp;","&amp;S28&amp;","&amp;S29</f>
        <v>113001|40$10001|540,113001|228$10001|2160,113001|624$10001|4860,113001|1280$10001|8640,113001|2236$10001|13500,113001|3528$10001|19440,113001|5184$10001|26460,113001|7240$10001|34560,113001|9720$10001|43740,113001|12648$10001|54000,113001|16052$10001|65340,113001|19952$10001|77760,113001|24372$10001|91260,113001|29336$10001|105840,113001|34856$10001|121500,113001|40960$10001|138240,113001|47664$10001|156060,113001|54984$10001|174960,113001|62944$10001|194940,113001|71556$10001|216000,113001|80836$10001|238140,113001|90808$10001|261360,113001|101480$10001|285660,113001|112872$10001|311040,113001|125000$10001|337500</v>
      </c>
      <c r="Y30" s="14" t="str">
        <f>Y5&amp;","&amp;Y6&amp;","&amp;Y7&amp;","&amp;Y8&amp;","&amp;Y9&amp;","&amp;Y10&amp;","&amp;Y11&amp;","&amp;Y12&amp;","&amp;Y13&amp;","&amp;Y14&amp;","&amp;Y15&amp;","&amp;Y16&amp;","&amp;Y17&amp;","&amp;Y18&amp;","&amp;Y19&amp;","&amp;Y20&amp;","&amp;Y21&amp;","&amp;Y22&amp;","&amp;Y23&amp;","&amp;Y24&amp;","&amp;Y25&amp;","&amp;Y26&amp;","&amp;Y27&amp;","&amp;Y28&amp;","&amp;Y29</f>
        <v>114001|80$10001|1080,114001|456$10001|4320,114001|1248$10001|9720,114001|2560$10001|17280,114001|4472$10001|27000,114001|7056$10001|38880,114001|10368$10001|52920,114001|14480$10001|69120,114001|19440$10001|87480,114001|25296$10001|108000,114001|32104$10001|130680,114001|39904$10001|155520,114001|48744$10001|182520,114001|58672$10001|211680,114001|69712$10001|243000,114001|81920$10001|276480,114001|95328$10001|312120,114001|109968$10001|349920,114001|125888$10001|389880,114001|143112$10001|432000,114001|161672$10001|476280,114001|181616$10001|522720,114001|202960$10001|571320,114001|225744$10001|622080,114001|250000$10001|675000</v>
      </c>
      <c r="AE30" s="15" t="str">
        <f>AE5&amp;","&amp;AE6&amp;","&amp;AE7&amp;","&amp;AE8&amp;","&amp;AE9&amp;","&amp;AE10&amp;","&amp;AE11&amp;","&amp;AE12&amp;","&amp;AE13&amp;","&amp;AE14&amp;","&amp;AE15&amp;","&amp;AE16&amp;","&amp;AE17&amp;","&amp;AE18&amp;","&amp;AE19&amp;","&amp;AE20&amp;","&amp;AE21&amp;","&amp;AE22&amp;","&amp;AE23&amp;","&amp;AE24&amp;","&amp;AE25&amp;","&amp;AE26&amp;","&amp;AE27&amp;","&amp;AE28&amp;","&amp;AE29</f>
        <v>115001|160$10001|2160,115001|912$10001|8640,115001|2496$10001|19440,115001|5120$10001|34560,115001|8944$10001|54000,115001|14112$10001|77760,115001|20736$10001|105840,115001|28960$10001|138240,115001|38880$10001|174960,115001|50592$10001|216000,115001|64208$10001|261360,115001|79808$10001|311040,115001|97488$10001|365040,115001|117344$10001|423360,115001|139424$10001|486000,115001|163840$10001|552960,115001|190656$10001|624240,115001|219936$10001|699840,115001|251776$10001|779760,115001|286224$10001|864000,115001|323344$10001|952560,115001|363232$10001|1045440,115001|405920$10001|1142640,115001|451488$10001|1244160,115001|500000$10001|1350000</v>
      </c>
    </row>
    <row r="31" ht="27" customHeight="1" spans="1:44">
      <c r="W31" s="7" t="s">
        <v>1135</v>
      </c>
    </row>
    <row r="32" spans="1:44">
      <c r="W32" s="7">
        <f>SUM(W5:W29)</f>
        <v>1912800</v>
      </c>
    </row>
    <row r="33" spans="2:23">
      <c r="W33" s="7">
        <v>1.5</v>
      </c>
    </row>
    <row r="36" spans="2:23">
      <c r="B36" s="7">
        <v>0.1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G32" sqref="G32"/>
    </sheetView>
  </sheetViews>
  <sheetFormatPr defaultColWidth="9" defaultRowHeight="13.5" outlineLevelRow="5" outlineLevelCol="3"/>
  <cols>
    <col min="4" max="4" width="11.5" style="2" customWidth="1"/>
  </cols>
  <sheetData>
    <row r="1" spans="1:4">
      <c r="A1" t="s">
        <v>1121</v>
      </c>
      <c r="B1" t="s">
        <v>1136</v>
      </c>
      <c r="C1" t="s">
        <v>1137</v>
      </c>
      <c r="D1" t="s">
        <v>1138</v>
      </c>
    </row>
    <row r="2" spans="1:4">
      <c r="B2">
        <f>装备强化材料!D9</f>
        <v>559</v>
      </c>
      <c r="C2">
        <v>10</v>
      </c>
      <c r="D2">
        <v>1</v>
      </c>
    </row>
    <row r="3" spans="1:4">
      <c r="B3">
        <f>装备强化材料!D14</f>
        <v>3162</v>
      </c>
      <c r="C3">
        <v>20</v>
      </c>
      <c r="D3">
        <v>2</v>
      </c>
    </row>
    <row r="4" spans="1:4">
      <c r="B4">
        <f>装备强化材料!D19</f>
        <v>8714</v>
      </c>
      <c r="C4">
        <v>40</v>
      </c>
      <c r="D4">
        <v>4</v>
      </c>
    </row>
    <row r="5" spans="1:4">
      <c r="B5">
        <f>装备强化材料!D24</f>
        <v>17889</v>
      </c>
      <c r="C5">
        <v>80</v>
      </c>
      <c r="D5">
        <v>8</v>
      </c>
    </row>
    <row r="6" spans="1:4">
      <c r="B6">
        <f>装备强化材料!D29</f>
        <v>31250</v>
      </c>
      <c r="C6">
        <v>160</v>
      </c>
      <c r="D6">
        <v>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4"/>
  <sheetViews>
    <sheetView topLeftCell="K22" workbookViewId="0">
      <selection activeCell="Q44" sqref="Q44"/>
    </sheetView>
  </sheetViews>
  <sheetFormatPr defaultColWidth="9" defaultRowHeight="13.5"/>
  <cols>
    <col min="2" max="2" width="14.125" style="2" customWidth="1"/>
    <col min="3" max="3" width="10.875" style="2" customWidth="1"/>
    <col min="4" max="4" width="10.375" style="2" customWidth="1"/>
    <col min="5" max="5" width="11.875" style="2" customWidth="1"/>
    <col min="6" max="6" width="12.375" style="2" customWidth="1"/>
    <col min="7" max="7" width="18.125" style="2" customWidth="1"/>
    <col min="8" max="8" width="11.875" style="2" customWidth="1"/>
    <col min="9" max="9" width="17.875" style="2" customWidth="1"/>
    <col min="10" max="10" width="11.25" style="2" customWidth="1"/>
    <col min="11" max="11" width="15.375" style="2" customWidth="1"/>
    <col min="12" max="12" width="9.625" style="2" customWidth="1"/>
    <col min="13" max="13" width="11" style="2" customWidth="1"/>
    <col min="14" max="14" width="10.625" style="2" customWidth="1"/>
    <col min="15" max="15" width="11.5" style="2" customWidth="1"/>
    <col min="16" max="17" width="9.75" style="2" customWidth="1"/>
    <col min="18" max="18" width="11.5" style="2" customWidth="1"/>
    <col min="19" max="19" width="11" style="2" customWidth="1"/>
    <col min="20" max="20" width="10.5" style="2" customWidth="1"/>
    <col min="21" max="21" width="11.75" style="2" customWidth="1"/>
    <col min="22" max="22" width="13.625" style="2" customWidth="1"/>
    <col min="23" max="23" width="10.625" style="2" customWidth="1"/>
    <col min="24" max="24" width="10.25" style="2" customWidth="1"/>
    <col min="25" max="25" width="11.25" style="2" customWidth="1"/>
    <col min="26" max="26" width="11.375" style="2" customWidth="1"/>
  </cols>
  <sheetData>
    <row r="1" ht="15.75" customHeight="1" spans="1:26">
      <c r="B1" t="s">
        <v>1139</v>
      </c>
      <c r="C1" t="s">
        <v>988</v>
      </c>
      <c r="D1" s="3" t="s">
        <v>989</v>
      </c>
      <c r="E1" s="3" t="s">
        <v>990</v>
      </c>
      <c r="F1" s="3" t="s">
        <v>992</v>
      </c>
      <c r="G1" s="3" t="s">
        <v>993</v>
      </c>
      <c r="H1" s="3" t="s">
        <v>994</v>
      </c>
      <c r="I1" s="3" t="s">
        <v>996</v>
      </c>
      <c r="J1" s="3" t="s">
        <v>997</v>
      </c>
      <c r="K1" s="3" t="s">
        <v>998</v>
      </c>
      <c r="L1" s="3" t="s">
        <v>1000</v>
      </c>
      <c r="M1" s="3" t="s">
        <v>1001</v>
      </c>
      <c r="N1" s="3" t="s">
        <v>1002</v>
      </c>
      <c r="O1" s="3" t="s">
        <v>1004</v>
      </c>
      <c r="P1" s="3" t="s">
        <v>1005</v>
      </c>
      <c r="Q1" s="3" t="s">
        <v>1006</v>
      </c>
      <c r="R1" s="3" t="s">
        <v>1008</v>
      </c>
      <c r="S1" s="3" t="s">
        <v>1009</v>
      </c>
      <c r="T1" s="3" t="s">
        <v>1010</v>
      </c>
      <c r="U1" s="3" t="s">
        <v>1012</v>
      </c>
      <c r="V1" s="3" t="s">
        <v>1013</v>
      </c>
      <c r="W1" s="3" t="s">
        <v>1014</v>
      </c>
      <c r="X1" s="3" t="s">
        <v>1016</v>
      </c>
      <c r="Y1" s="3" t="s">
        <v>1017</v>
      </c>
      <c r="Z1" s="3" t="s">
        <v>1018</v>
      </c>
    </row>
    <row r="2" ht="17.25" customHeight="1" spans="1:26">
      <c r="A2" s="4">
        <v>350</v>
      </c>
      <c r="B2" s="4">
        <v>340</v>
      </c>
      <c r="C2" s="4">
        <v>18</v>
      </c>
      <c r="D2" s="4">
        <v>40</v>
      </c>
      <c r="E2" s="4">
        <v>280</v>
      </c>
      <c r="F2" s="4">
        <v>15</v>
      </c>
      <c r="G2" s="4">
        <v>46</v>
      </c>
      <c r="H2" s="4">
        <v>350</v>
      </c>
      <c r="I2" s="4">
        <v>8</v>
      </c>
      <c r="J2" s="4">
        <v>54</v>
      </c>
      <c r="K2" s="4">
        <v>450</v>
      </c>
      <c r="L2" s="4">
        <v>15</v>
      </c>
      <c r="M2" s="4">
        <v>46</v>
      </c>
      <c r="N2" s="4">
        <v>350</v>
      </c>
      <c r="O2" s="4">
        <v>14</v>
      </c>
      <c r="P2" s="4">
        <v>46</v>
      </c>
      <c r="Q2" s="4">
        <v>330</v>
      </c>
      <c r="R2" s="4">
        <v>10</v>
      </c>
      <c r="S2" s="4">
        <v>50</v>
      </c>
      <c r="T2" s="4">
        <v>430</v>
      </c>
      <c r="U2" s="4">
        <v>15</v>
      </c>
      <c r="V2" s="4">
        <v>50</v>
      </c>
      <c r="W2" s="4">
        <v>400</v>
      </c>
      <c r="X2" s="4">
        <v>18</v>
      </c>
      <c r="Y2" s="4">
        <v>46</v>
      </c>
      <c r="Z2" s="4">
        <v>350</v>
      </c>
    </row>
    <row r="3" ht="17.25" customHeight="1" spans="1:26">
      <c r="A3" s="4">
        <v>350</v>
      </c>
      <c r="B3" s="4">
        <v>340</v>
      </c>
      <c r="C3" s="4">
        <v>18</v>
      </c>
      <c r="D3" s="4">
        <v>40</v>
      </c>
      <c r="E3" s="4">
        <v>280</v>
      </c>
      <c r="F3" s="4">
        <v>15</v>
      </c>
      <c r="G3" s="4">
        <v>46</v>
      </c>
      <c r="H3" s="4">
        <v>350</v>
      </c>
      <c r="I3" s="4">
        <v>8</v>
      </c>
      <c r="J3" s="4">
        <v>54</v>
      </c>
      <c r="K3" s="4">
        <v>450</v>
      </c>
      <c r="L3" s="4">
        <v>15</v>
      </c>
      <c r="M3" s="4">
        <v>46</v>
      </c>
      <c r="N3" s="4">
        <v>350</v>
      </c>
      <c r="O3" s="4">
        <v>14</v>
      </c>
      <c r="P3" s="4">
        <v>46</v>
      </c>
      <c r="Q3" s="4">
        <v>330</v>
      </c>
      <c r="R3" s="4">
        <v>10</v>
      </c>
      <c r="S3" s="4">
        <v>50</v>
      </c>
      <c r="T3" s="4">
        <v>430</v>
      </c>
      <c r="U3" s="4">
        <v>15</v>
      </c>
      <c r="V3" s="4">
        <v>50</v>
      </c>
      <c r="W3" s="4">
        <v>400</v>
      </c>
      <c r="X3" s="4">
        <v>18</v>
      </c>
      <c r="Y3" s="4">
        <v>46</v>
      </c>
      <c r="Z3" s="4">
        <v>350</v>
      </c>
    </row>
    <row r="4" ht="17.25" customHeight="1" spans="1:26">
      <c r="A4" s="4">
        <v>380</v>
      </c>
      <c r="B4" s="4">
        <v>350</v>
      </c>
      <c r="C4" s="4">
        <v>19</v>
      </c>
      <c r="D4" s="4">
        <v>42</v>
      </c>
      <c r="E4" s="4">
        <v>300</v>
      </c>
      <c r="F4" s="4">
        <v>16</v>
      </c>
      <c r="G4" s="4">
        <v>48</v>
      </c>
      <c r="H4" s="4">
        <v>380</v>
      </c>
      <c r="I4" s="4">
        <v>10</v>
      </c>
      <c r="J4" s="4">
        <v>56</v>
      </c>
      <c r="K4" s="4">
        <v>460</v>
      </c>
      <c r="L4" s="4">
        <v>16</v>
      </c>
      <c r="M4" s="4">
        <v>48</v>
      </c>
      <c r="N4" s="4">
        <v>380</v>
      </c>
      <c r="O4" s="4">
        <v>15</v>
      </c>
      <c r="P4" s="4">
        <v>48</v>
      </c>
      <c r="Q4" s="4">
        <v>350</v>
      </c>
      <c r="R4" s="4">
        <v>13</v>
      </c>
      <c r="S4" s="4">
        <v>52</v>
      </c>
      <c r="T4" s="4">
        <v>460</v>
      </c>
      <c r="U4" s="4">
        <v>16</v>
      </c>
      <c r="V4" s="4">
        <v>52</v>
      </c>
      <c r="W4" s="4">
        <v>420</v>
      </c>
      <c r="X4" s="4">
        <v>19</v>
      </c>
      <c r="Y4" s="4">
        <v>48</v>
      </c>
      <c r="Z4" s="4">
        <v>380</v>
      </c>
    </row>
    <row r="5" ht="17.25" customHeight="1" spans="1:26">
      <c r="A5" s="4">
        <v>380</v>
      </c>
      <c r="B5" s="4">
        <v>350</v>
      </c>
      <c r="C5" s="4">
        <v>19</v>
      </c>
      <c r="D5" s="4">
        <v>42</v>
      </c>
      <c r="E5" s="4">
        <v>300</v>
      </c>
      <c r="F5" s="4">
        <v>16</v>
      </c>
      <c r="G5" s="4">
        <v>48</v>
      </c>
      <c r="H5" s="4">
        <v>380</v>
      </c>
      <c r="I5" s="4">
        <v>10</v>
      </c>
      <c r="J5" s="4">
        <v>56</v>
      </c>
      <c r="K5" s="4">
        <v>460</v>
      </c>
      <c r="L5" s="4">
        <v>16</v>
      </c>
      <c r="M5" s="4">
        <v>48</v>
      </c>
      <c r="N5" s="4">
        <v>380</v>
      </c>
      <c r="O5" s="4">
        <v>15</v>
      </c>
      <c r="P5" s="4">
        <v>48</v>
      </c>
      <c r="Q5" s="4">
        <v>350</v>
      </c>
      <c r="R5" s="4">
        <v>13</v>
      </c>
      <c r="S5" s="4">
        <v>52</v>
      </c>
      <c r="T5" s="4">
        <v>460</v>
      </c>
      <c r="U5" s="4">
        <v>16</v>
      </c>
      <c r="V5" s="4">
        <v>52</v>
      </c>
      <c r="W5" s="4">
        <v>420</v>
      </c>
      <c r="X5" s="4">
        <v>19</v>
      </c>
      <c r="Y5" s="4">
        <v>48</v>
      </c>
      <c r="Z5" s="4">
        <v>380</v>
      </c>
    </row>
    <row r="6" ht="17.25" customHeight="1" spans="1:26">
      <c r="A6" s="4">
        <v>400</v>
      </c>
      <c r="B6" s="4">
        <v>360</v>
      </c>
      <c r="C6" s="4">
        <v>20</v>
      </c>
      <c r="D6" s="4">
        <v>44</v>
      </c>
      <c r="E6" s="4">
        <v>320</v>
      </c>
      <c r="F6" s="4">
        <v>17</v>
      </c>
      <c r="G6" s="4">
        <v>50</v>
      </c>
      <c r="H6" s="4">
        <v>400</v>
      </c>
      <c r="I6" s="4">
        <v>12</v>
      </c>
      <c r="J6" s="4">
        <v>58</v>
      </c>
      <c r="K6" s="4">
        <v>480</v>
      </c>
      <c r="L6" s="4">
        <v>17</v>
      </c>
      <c r="M6" s="4">
        <v>50</v>
      </c>
      <c r="N6" s="4">
        <v>400</v>
      </c>
      <c r="O6" s="4">
        <v>16</v>
      </c>
      <c r="P6" s="4">
        <v>50</v>
      </c>
      <c r="Q6" s="4">
        <v>380</v>
      </c>
      <c r="R6" s="4">
        <v>15</v>
      </c>
      <c r="S6" s="4">
        <v>54</v>
      </c>
      <c r="T6" s="4">
        <v>480</v>
      </c>
      <c r="U6" s="4">
        <v>17</v>
      </c>
      <c r="V6" s="4">
        <v>54</v>
      </c>
      <c r="W6" s="4">
        <v>440</v>
      </c>
      <c r="X6" s="4">
        <v>20</v>
      </c>
      <c r="Y6" s="4">
        <v>50</v>
      </c>
      <c r="Z6" s="4">
        <v>400</v>
      </c>
    </row>
    <row r="7" ht="17.25" customHeight="1" spans="1:26">
      <c r="A7" s="4">
        <v>400</v>
      </c>
      <c r="B7" s="4">
        <v>360</v>
      </c>
      <c r="C7" s="4">
        <v>20</v>
      </c>
      <c r="D7" s="4">
        <v>44</v>
      </c>
      <c r="E7" s="4">
        <v>320</v>
      </c>
      <c r="F7" s="4">
        <v>17</v>
      </c>
      <c r="G7" s="4">
        <v>50</v>
      </c>
      <c r="H7" s="4">
        <v>400</v>
      </c>
      <c r="I7" s="4">
        <v>12</v>
      </c>
      <c r="J7" s="4">
        <v>58</v>
      </c>
      <c r="K7" s="4">
        <v>480</v>
      </c>
      <c r="L7" s="4">
        <v>17</v>
      </c>
      <c r="M7" s="4">
        <v>50</v>
      </c>
      <c r="N7" s="4">
        <v>400</v>
      </c>
      <c r="O7" s="4">
        <v>16</v>
      </c>
      <c r="P7" s="4">
        <v>50</v>
      </c>
      <c r="Q7" s="4">
        <v>380</v>
      </c>
      <c r="R7" s="4">
        <v>15</v>
      </c>
      <c r="S7" s="4">
        <v>54</v>
      </c>
      <c r="T7" s="4">
        <v>480</v>
      </c>
      <c r="U7" s="4">
        <v>17</v>
      </c>
      <c r="V7" s="4">
        <v>54</v>
      </c>
      <c r="W7" s="4">
        <v>440</v>
      </c>
      <c r="X7" s="4">
        <v>20</v>
      </c>
      <c r="Y7" s="4">
        <v>50</v>
      </c>
      <c r="Z7" s="4">
        <v>400</v>
      </c>
    </row>
    <row r="8" ht="17.25" customHeight="1" spans="1:26">
      <c r="A8" s="4">
        <v>420</v>
      </c>
      <c r="B8" s="4">
        <v>380</v>
      </c>
      <c r="C8" s="4">
        <v>21</v>
      </c>
      <c r="D8" s="4">
        <v>46</v>
      </c>
      <c r="E8" s="4">
        <v>350</v>
      </c>
      <c r="F8" s="4">
        <v>18</v>
      </c>
      <c r="G8" s="4">
        <v>52</v>
      </c>
      <c r="H8" s="4">
        <v>420</v>
      </c>
      <c r="I8" s="4">
        <v>13</v>
      </c>
      <c r="J8" s="4">
        <v>60</v>
      </c>
      <c r="K8" s="4">
        <v>500</v>
      </c>
      <c r="L8" s="4">
        <v>18</v>
      </c>
      <c r="M8" s="4">
        <v>52</v>
      </c>
      <c r="N8" s="4">
        <v>420</v>
      </c>
      <c r="O8" s="4">
        <v>17</v>
      </c>
      <c r="P8" s="4">
        <v>52</v>
      </c>
      <c r="Q8" s="4">
        <v>400</v>
      </c>
      <c r="R8" s="4">
        <v>16</v>
      </c>
      <c r="S8" s="4">
        <v>56</v>
      </c>
      <c r="T8" s="4">
        <v>500</v>
      </c>
      <c r="U8" s="4">
        <v>18</v>
      </c>
      <c r="V8" s="4">
        <v>56</v>
      </c>
      <c r="W8" s="4">
        <v>460</v>
      </c>
      <c r="X8" s="4">
        <v>21</v>
      </c>
      <c r="Y8" s="4">
        <v>52</v>
      </c>
      <c r="Z8" s="4">
        <v>420</v>
      </c>
    </row>
    <row r="9" ht="17.25" customHeight="1" spans="1:26">
      <c r="A9" s="4">
        <v>420</v>
      </c>
      <c r="B9" s="4">
        <v>380</v>
      </c>
      <c r="C9" s="4">
        <v>21</v>
      </c>
      <c r="D9" s="4">
        <v>46</v>
      </c>
      <c r="E9" s="4">
        <v>350</v>
      </c>
      <c r="F9" s="4">
        <v>18</v>
      </c>
      <c r="G9" s="4">
        <v>52</v>
      </c>
      <c r="H9" s="4">
        <v>420</v>
      </c>
      <c r="I9" s="4">
        <v>13</v>
      </c>
      <c r="J9" s="4">
        <v>60</v>
      </c>
      <c r="K9" s="4">
        <v>500</v>
      </c>
      <c r="L9" s="4">
        <v>18</v>
      </c>
      <c r="M9" s="4">
        <v>52</v>
      </c>
      <c r="N9" s="4">
        <v>420</v>
      </c>
      <c r="O9" s="4">
        <v>17</v>
      </c>
      <c r="P9" s="4">
        <v>52</v>
      </c>
      <c r="Q9" s="4">
        <v>400</v>
      </c>
      <c r="R9" s="4">
        <v>16</v>
      </c>
      <c r="S9" s="4">
        <v>56</v>
      </c>
      <c r="T9" s="4">
        <v>500</v>
      </c>
      <c r="U9" s="4">
        <v>18</v>
      </c>
      <c r="V9" s="4">
        <v>56</v>
      </c>
      <c r="W9" s="4">
        <v>460</v>
      </c>
      <c r="X9" s="4">
        <v>21</v>
      </c>
      <c r="Y9" s="4">
        <v>52</v>
      </c>
      <c r="Z9" s="4">
        <v>420</v>
      </c>
    </row>
    <row r="10" ht="17.25" customHeight="1" spans="1:26">
      <c r="A10" s="4">
        <v>440</v>
      </c>
      <c r="B10" s="4">
        <v>400</v>
      </c>
      <c r="C10" s="4">
        <v>22</v>
      </c>
      <c r="D10" s="4">
        <v>48</v>
      </c>
      <c r="E10" s="4">
        <v>380</v>
      </c>
      <c r="F10" s="4">
        <v>19</v>
      </c>
      <c r="G10" s="4">
        <v>54</v>
      </c>
      <c r="H10" s="4">
        <v>440</v>
      </c>
      <c r="I10" s="4">
        <v>14</v>
      </c>
      <c r="J10" s="4">
        <v>62</v>
      </c>
      <c r="K10" s="4">
        <v>520</v>
      </c>
      <c r="L10" s="4">
        <v>19</v>
      </c>
      <c r="M10" s="4">
        <v>54</v>
      </c>
      <c r="N10" s="4">
        <v>440</v>
      </c>
      <c r="O10" s="4">
        <v>18</v>
      </c>
      <c r="P10" s="4">
        <v>54</v>
      </c>
      <c r="Q10" s="4">
        <v>420</v>
      </c>
      <c r="R10" s="4">
        <v>17</v>
      </c>
      <c r="S10" s="4">
        <v>58</v>
      </c>
      <c r="T10" s="4">
        <v>520</v>
      </c>
      <c r="U10" s="4">
        <v>19</v>
      </c>
      <c r="V10" s="4">
        <v>58</v>
      </c>
      <c r="W10" s="4">
        <v>480</v>
      </c>
      <c r="X10" s="4">
        <v>22</v>
      </c>
      <c r="Y10" s="4">
        <v>54</v>
      </c>
      <c r="Z10" s="4">
        <v>440</v>
      </c>
    </row>
    <row r="11" ht="17.25" customHeight="1" spans="1:26">
      <c r="A11" s="4">
        <v>440</v>
      </c>
      <c r="B11" s="4">
        <v>400</v>
      </c>
      <c r="C11" s="4">
        <v>22</v>
      </c>
      <c r="D11" s="4">
        <v>48</v>
      </c>
      <c r="E11" s="4">
        <v>380</v>
      </c>
      <c r="F11" s="4">
        <v>19</v>
      </c>
      <c r="G11" s="4">
        <v>54</v>
      </c>
      <c r="H11" s="4">
        <v>440</v>
      </c>
      <c r="I11" s="4">
        <v>14</v>
      </c>
      <c r="J11" s="4">
        <v>62</v>
      </c>
      <c r="K11" s="4">
        <v>520</v>
      </c>
      <c r="L11" s="4">
        <v>19</v>
      </c>
      <c r="M11" s="4">
        <v>54</v>
      </c>
      <c r="N11" s="4">
        <v>440</v>
      </c>
      <c r="O11" s="4">
        <v>18</v>
      </c>
      <c r="P11" s="4">
        <v>54</v>
      </c>
      <c r="Q11" s="4">
        <v>420</v>
      </c>
      <c r="R11" s="4">
        <v>17</v>
      </c>
      <c r="S11" s="4">
        <v>58</v>
      </c>
      <c r="T11" s="4">
        <v>520</v>
      </c>
      <c r="U11" s="4">
        <v>19</v>
      </c>
      <c r="V11" s="4">
        <v>58</v>
      </c>
      <c r="W11" s="4">
        <v>480</v>
      </c>
      <c r="X11" s="4">
        <v>22</v>
      </c>
      <c r="Y11" s="4">
        <v>54</v>
      </c>
      <c r="Z11" s="4">
        <v>440</v>
      </c>
    </row>
    <row r="12" ht="17.25" customHeight="1" spans="1:26">
      <c r="A12" s="4">
        <v>460</v>
      </c>
      <c r="B12" s="4">
        <v>420</v>
      </c>
      <c r="C12" s="4">
        <v>24</v>
      </c>
      <c r="D12" s="4">
        <v>50</v>
      </c>
      <c r="E12" s="4">
        <v>400</v>
      </c>
      <c r="F12" s="4">
        <v>20</v>
      </c>
      <c r="G12" s="4">
        <v>56</v>
      </c>
      <c r="H12" s="4">
        <v>460</v>
      </c>
      <c r="I12" s="4">
        <v>15</v>
      </c>
      <c r="J12" s="4">
        <v>64</v>
      </c>
      <c r="K12" s="4">
        <v>540</v>
      </c>
      <c r="L12" s="4">
        <v>20</v>
      </c>
      <c r="M12" s="4">
        <v>56</v>
      </c>
      <c r="N12" s="4">
        <v>460</v>
      </c>
      <c r="O12" s="4">
        <v>19</v>
      </c>
      <c r="P12" s="4">
        <v>56</v>
      </c>
      <c r="Q12" s="4">
        <v>440</v>
      </c>
      <c r="R12" s="4">
        <v>18</v>
      </c>
      <c r="S12" s="4">
        <v>60</v>
      </c>
      <c r="T12" s="4">
        <v>540</v>
      </c>
      <c r="U12" s="4">
        <v>20</v>
      </c>
      <c r="V12" s="4">
        <v>60</v>
      </c>
      <c r="W12" s="4">
        <v>500</v>
      </c>
      <c r="X12" s="4">
        <v>24</v>
      </c>
      <c r="Y12" s="4">
        <v>56</v>
      </c>
      <c r="Z12" s="4">
        <v>460</v>
      </c>
    </row>
    <row r="13" ht="17.25" customHeight="1" spans="1:26">
      <c r="A13" s="4">
        <v>460</v>
      </c>
      <c r="B13" s="4">
        <v>420</v>
      </c>
      <c r="C13" s="4">
        <v>24</v>
      </c>
      <c r="D13" s="4">
        <v>50</v>
      </c>
      <c r="E13" s="4">
        <v>400</v>
      </c>
      <c r="F13" s="4">
        <v>20</v>
      </c>
      <c r="G13" s="4">
        <v>56</v>
      </c>
      <c r="H13" s="4">
        <v>460</v>
      </c>
      <c r="I13" s="4">
        <v>15</v>
      </c>
      <c r="J13" s="4">
        <v>64</v>
      </c>
      <c r="K13" s="4">
        <v>540</v>
      </c>
      <c r="L13" s="4">
        <v>20</v>
      </c>
      <c r="M13" s="4">
        <v>56</v>
      </c>
      <c r="N13" s="4">
        <v>460</v>
      </c>
      <c r="O13" s="4">
        <v>19</v>
      </c>
      <c r="P13" s="4">
        <v>56</v>
      </c>
      <c r="Q13" s="4">
        <v>440</v>
      </c>
      <c r="R13" s="4">
        <v>18</v>
      </c>
      <c r="S13" s="4">
        <v>60</v>
      </c>
      <c r="T13" s="4">
        <v>540</v>
      </c>
      <c r="U13" s="4">
        <v>20</v>
      </c>
      <c r="V13" s="4">
        <v>60</v>
      </c>
      <c r="W13" s="4">
        <v>500</v>
      </c>
      <c r="X13" s="4">
        <v>24</v>
      </c>
      <c r="Y13" s="4">
        <v>56</v>
      </c>
      <c r="Z13" s="4">
        <v>460</v>
      </c>
    </row>
    <row r="14" ht="17.25" customHeight="1" spans="1:26">
      <c r="A14" s="4">
        <v>480</v>
      </c>
      <c r="B14" s="4">
        <v>440</v>
      </c>
      <c r="C14" s="4">
        <v>26</v>
      </c>
      <c r="D14" s="4">
        <v>52</v>
      </c>
      <c r="E14" s="4">
        <v>420</v>
      </c>
      <c r="F14" s="4">
        <v>21</v>
      </c>
      <c r="G14" s="4">
        <v>58</v>
      </c>
      <c r="H14" s="4">
        <v>480</v>
      </c>
      <c r="I14" s="4">
        <v>16</v>
      </c>
      <c r="J14" s="4">
        <v>66</v>
      </c>
      <c r="K14" s="4">
        <v>560</v>
      </c>
      <c r="L14" s="4">
        <v>21</v>
      </c>
      <c r="M14" s="4">
        <v>58</v>
      </c>
      <c r="N14" s="4">
        <v>480</v>
      </c>
      <c r="O14" s="4">
        <v>20</v>
      </c>
      <c r="P14" s="4">
        <v>58</v>
      </c>
      <c r="Q14" s="4">
        <v>460</v>
      </c>
      <c r="R14" s="4">
        <v>19</v>
      </c>
      <c r="S14" s="4">
        <v>62</v>
      </c>
      <c r="T14" s="4">
        <v>560</v>
      </c>
      <c r="U14" s="4">
        <v>21</v>
      </c>
      <c r="V14" s="4">
        <v>62</v>
      </c>
      <c r="W14" s="4">
        <v>520</v>
      </c>
      <c r="X14" s="4">
        <v>26</v>
      </c>
      <c r="Y14" s="4">
        <v>58</v>
      </c>
      <c r="Z14" s="4">
        <v>480</v>
      </c>
    </row>
    <row r="15" ht="17.25" customHeight="1" spans="1:26">
      <c r="A15" s="4">
        <v>480</v>
      </c>
      <c r="B15" s="4">
        <v>440</v>
      </c>
      <c r="C15" s="4">
        <v>26</v>
      </c>
      <c r="D15" s="4">
        <v>52</v>
      </c>
      <c r="E15" s="4">
        <v>420</v>
      </c>
      <c r="F15" s="4">
        <v>21</v>
      </c>
      <c r="G15" s="4">
        <v>58</v>
      </c>
      <c r="H15" s="4">
        <v>480</v>
      </c>
      <c r="I15" s="4">
        <v>16</v>
      </c>
      <c r="J15" s="4">
        <v>66</v>
      </c>
      <c r="K15" s="4">
        <v>560</v>
      </c>
      <c r="L15" s="4">
        <v>21</v>
      </c>
      <c r="M15" s="4">
        <v>58</v>
      </c>
      <c r="N15" s="4">
        <v>480</v>
      </c>
      <c r="O15" s="4">
        <v>20</v>
      </c>
      <c r="P15" s="4">
        <v>58</v>
      </c>
      <c r="Q15" s="4">
        <v>460</v>
      </c>
      <c r="R15" s="4">
        <v>19</v>
      </c>
      <c r="S15" s="4">
        <v>62</v>
      </c>
      <c r="T15" s="4">
        <v>560</v>
      </c>
      <c r="U15" s="4">
        <v>21</v>
      </c>
      <c r="V15" s="4">
        <v>62</v>
      </c>
      <c r="W15" s="4">
        <v>520</v>
      </c>
      <c r="X15" s="4">
        <v>26</v>
      </c>
      <c r="Y15" s="4">
        <v>58</v>
      </c>
      <c r="Z15" s="4">
        <v>480</v>
      </c>
    </row>
    <row r="16" ht="17.25" customHeight="1" spans="1:26">
      <c r="A16" s="4">
        <v>500</v>
      </c>
      <c r="B16" s="4">
        <v>460</v>
      </c>
      <c r="C16" s="4">
        <v>28</v>
      </c>
      <c r="D16" s="4">
        <v>54</v>
      </c>
      <c r="E16" s="4">
        <v>440</v>
      </c>
      <c r="F16" s="4">
        <v>22</v>
      </c>
      <c r="G16" s="4">
        <v>60</v>
      </c>
      <c r="H16" s="4">
        <v>500</v>
      </c>
      <c r="I16" s="4">
        <v>17</v>
      </c>
      <c r="J16" s="4">
        <v>68</v>
      </c>
      <c r="K16" s="4">
        <v>580</v>
      </c>
      <c r="L16" s="4">
        <v>22</v>
      </c>
      <c r="M16" s="4">
        <v>60</v>
      </c>
      <c r="N16" s="4">
        <v>500</v>
      </c>
      <c r="O16" s="4">
        <v>21</v>
      </c>
      <c r="P16" s="4">
        <v>60</v>
      </c>
      <c r="Q16" s="4">
        <v>480</v>
      </c>
      <c r="R16" s="4">
        <v>20</v>
      </c>
      <c r="S16" s="4">
        <v>64</v>
      </c>
      <c r="T16" s="4">
        <v>580</v>
      </c>
      <c r="U16" s="4">
        <v>22</v>
      </c>
      <c r="V16" s="4">
        <v>64</v>
      </c>
      <c r="W16" s="4">
        <v>540</v>
      </c>
      <c r="X16" s="4">
        <v>28</v>
      </c>
      <c r="Y16" s="4">
        <v>60</v>
      </c>
      <c r="Z16" s="4">
        <v>500</v>
      </c>
    </row>
    <row r="17" ht="17.25" customHeight="1" spans="1:26">
      <c r="A17" s="4">
        <v>500</v>
      </c>
      <c r="B17" s="4">
        <v>460</v>
      </c>
      <c r="C17" s="4">
        <v>28</v>
      </c>
      <c r="D17" s="4">
        <v>54</v>
      </c>
      <c r="E17" s="4">
        <v>440</v>
      </c>
      <c r="F17" s="4">
        <v>22</v>
      </c>
      <c r="G17" s="4">
        <v>60</v>
      </c>
      <c r="H17" s="4">
        <v>500</v>
      </c>
      <c r="I17" s="4">
        <v>17</v>
      </c>
      <c r="J17" s="4">
        <v>68</v>
      </c>
      <c r="K17" s="4">
        <v>580</v>
      </c>
      <c r="L17" s="4">
        <v>22</v>
      </c>
      <c r="M17" s="4">
        <v>60</v>
      </c>
      <c r="N17" s="4">
        <v>500</v>
      </c>
      <c r="O17" s="4">
        <v>21</v>
      </c>
      <c r="P17" s="4">
        <v>60</v>
      </c>
      <c r="Q17" s="4">
        <v>480</v>
      </c>
      <c r="R17" s="4">
        <v>20</v>
      </c>
      <c r="S17" s="4">
        <v>64</v>
      </c>
      <c r="T17" s="4">
        <v>580</v>
      </c>
      <c r="U17" s="4">
        <v>22</v>
      </c>
      <c r="V17" s="4">
        <v>64</v>
      </c>
      <c r="W17" s="4">
        <v>540</v>
      </c>
      <c r="X17" s="4">
        <v>28</v>
      </c>
      <c r="Y17" s="4">
        <v>60</v>
      </c>
      <c r="Z17" s="4">
        <v>500</v>
      </c>
    </row>
    <row r="18" ht="17.25" customHeight="1" spans="1:26">
      <c r="A18" s="4">
        <v>520</v>
      </c>
      <c r="B18" s="4">
        <v>480</v>
      </c>
      <c r="C18" s="4">
        <v>30</v>
      </c>
      <c r="D18" s="4">
        <v>56</v>
      </c>
      <c r="E18" s="4">
        <v>460</v>
      </c>
      <c r="F18" s="4">
        <v>24</v>
      </c>
      <c r="G18" s="4">
        <v>62</v>
      </c>
      <c r="H18" s="4">
        <v>520</v>
      </c>
      <c r="I18" s="4">
        <v>18</v>
      </c>
      <c r="J18" s="4">
        <v>70</v>
      </c>
      <c r="K18" s="4">
        <v>600</v>
      </c>
      <c r="L18" s="4">
        <v>24</v>
      </c>
      <c r="M18" s="4">
        <v>62</v>
      </c>
      <c r="N18" s="4">
        <v>520</v>
      </c>
      <c r="O18" s="4">
        <v>22</v>
      </c>
      <c r="P18" s="4">
        <v>62</v>
      </c>
      <c r="Q18" s="4">
        <v>500</v>
      </c>
      <c r="R18" s="4">
        <v>21</v>
      </c>
      <c r="S18" s="4">
        <v>66</v>
      </c>
      <c r="T18" s="4">
        <v>600</v>
      </c>
      <c r="U18" s="4">
        <v>24</v>
      </c>
      <c r="V18" s="4">
        <v>66</v>
      </c>
      <c r="W18" s="4">
        <v>560</v>
      </c>
      <c r="X18" s="4">
        <v>30</v>
      </c>
      <c r="Y18" s="4">
        <v>62</v>
      </c>
      <c r="Z18" s="4">
        <v>520</v>
      </c>
    </row>
    <row r="19" ht="17.25" customHeight="1" spans="1:26">
      <c r="A19" s="4">
        <v>520</v>
      </c>
      <c r="B19" s="4">
        <v>480</v>
      </c>
      <c r="C19" s="4">
        <v>30</v>
      </c>
      <c r="D19" s="4">
        <v>56</v>
      </c>
      <c r="E19" s="4">
        <v>460</v>
      </c>
      <c r="F19" s="4">
        <v>24</v>
      </c>
      <c r="G19" s="4">
        <v>62</v>
      </c>
      <c r="H19" s="4">
        <v>520</v>
      </c>
      <c r="I19" s="4">
        <v>18</v>
      </c>
      <c r="J19" s="4">
        <v>70</v>
      </c>
      <c r="K19" s="4">
        <v>600</v>
      </c>
      <c r="L19" s="4">
        <v>24</v>
      </c>
      <c r="M19" s="4">
        <v>62</v>
      </c>
      <c r="N19" s="4">
        <v>520</v>
      </c>
      <c r="O19" s="4">
        <v>22</v>
      </c>
      <c r="P19" s="4">
        <v>62</v>
      </c>
      <c r="Q19" s="4">
        <v>500</v>
      </c>
      <c r="R19" s="4">
        <v>21</v>
      </c>
      <c r="S19" s="4">
        <v>66</v>
      </c>
      <c r="T19" s="4">
        <v>600</v>
      </c>
      <c r="U19" s="4">
        <v>24</v>
      </c>
      <c r="V19" s="4">
        <v>66</v>
      </c>
      <c r="W19" s="4">
        <v>560</v>
      </c>
      <c r="X19" s="4">
        <v>30</v>
      </c>
      <c r="Y19" s="4">
        <v>62</v>
      </c>
      <c r="Z19" s="4">
        <v>520</v>
      </c>
    </row>
    <row r="20" ht="17.25" customHeight="1" spans="1:26">
      <c r="A20" s="4">
        <v>540</v>
      </c>
      <c r="B20" s="4">
        <v>500</v>
      </c>
      <c r="C20" s="4">
        <v>30</v>
      </c>
      <c r="D20" s="4">
        <v>58</v>
      </c>
      <c r="E20" s="4">
        <v>480</v>
      </c>
      <c r="F20" s="4">
        <v>26</v>
      </c>
      <c r="G20" s="4">
        <v>64</v>
      </c>
      <c r="H20" s="4">
        <v>540</v>
      </c>
      <c r="I20" s="4">
        <v>19</v>
      </c>
      <c r="J20" s="4">
        <v>72</v>
      </c>
      <c r="K20" s="4">
        <v>620</v>
      </c>
      <c r="L20" s="4">
        <v>26</v>
      </c>
      <c r="M20" s="4">
        <v>64</v>
      </c>
      <c r="N20" s="4">
        <v>540</v>
      </c>
      <c r="O20" s="4">
        <v>24</v>
      </c>
      <c r="P20" s="4">
        <v>64</v>
      </c>
      <c r="Q20" s="4">
        <v>520</v>
      </c>
      <c r="R20" s="4">
        <v>22</v>
      </c>
      <c r="S20" s="4">
        <v>68</v>
      </c>
      <c r="T20" s="4">
        <v>620</v>
      </c>
      <c r="U20" s="4">
        <v>26</v>
      </c>
      <c r="V20" s="4">
        <v>68</v>
      </c>
      <c r="W20" s="4">
        <v>580</v>
      </c>
      <c r="X20" s="4">
        <v>30</v>
      </c>
      <c r="Y20" s="4">
        <v>64</v>
      </c>
      <c r="Z20" s="4">
        <v>540</v>
      </c>
    </row>
    <row r="21" ht="17.25" customHeight="1" spans="1:26">
      <c r="A21" s="4">
        <v>540</v>
      </c>
      <c r="B21" s="4">
        <v>500</v>
      </c>
      <c r="C21" s="4">
        <v>30</v>
      </c>
      <c r="D21" s="4">
        <v>58</v>
      </c>
      <c r="E21" s="4">
        <v>480</v>
      </c>
      <c r="F21" s="4">
        <v>26</v>
      </c>
      <c r="G21" s="4">
        <v>64</v>
      </c>
      <c r="H21" s="4">
        <v>540</v>
      </c>
      <c r="I21" s="4">
        <v>19</v>
      </c>
      <c r="J21" s="4">
        <v>72</v>
      </c>
      <c r="K21" s="4">
        <v>620</v>
      </c>
      <c r="L21" s="4">
        <v>26</v>
      </c>
      <c r="M21" s="4">
        <v>64</v>
      </c>
      <c r="N21" s="4">
        <v>540</v>
      </c>
      <c r="O21" s="4">
        <v>24</v>
      </c>
      <c r="P21" s="4">
        <v>64</v>
      </c>
      <c r="Q21" s="4">
        <v>520</v>
      </c>
      <c r="R21" s="4">
        <v>22</v>
      </c>
      <c r="S21" s="4">
        <v>68</v>
      </c>
      <c r="T21" s="4">
        <v>620</v>
      </c>
      <c r="U21" s="4">
        <v>26</v>
      </c>
      <c r="V21" s="4">
        <v>68</v>
      </c>
      <c r="W21" s="4">
        <v>580</v>
      </c>
      <c r="X21" s="4">
        <v>30</v>
      </c>
      <c r="Y21" s="4">
        <v>64</v>
      </c>
      <c r="Z21" s="4">
        <v>540</v>
      </c>
    </row>
    <row r="22" ht="17.25" customHeight="1" spans="1:26">
      <c r="A22" s="4">
        <v>560</v>
      </c>
      <c r="B22" s="4">
        <v>520</v>
      </c>
      <c r="C22" s="4">
        <v>30</v>
      </c>
      <c r="D22" s="4">
        <v>60</v>
      </c>
      <c r="E22" s="4">
        <v>500</v>
      </c>
      <c r="F22" s="4">
        <v>28</v>
      </c>
      <c r="G22" s="4">
        <v>66</v>
      </c>
      <c r="H22" s="4">
        <v>560</v>
      </c>
      <c r="I22" s="4">
        <v>20</v>
      </c>
      <c r="J22" s="4">
        <v>74</v>
      </c>
      <c r="K22" s="4">
        <v>650</v>
      </c>
      <c r="L22" s="4">
        <v>28</v>
      </c>
      <c r="M22" s="4">
        <v>66</v>
      </c>
      <c r="N22" s="4">
        <v>560</v>
      </c>
      <c r="O22" s="4">
        <v>26</v>
      </c>
      <c r="P22" s="4">
        <v>66</v>
      </c>
      <c r="Q22" s="4">
        <v>540</v>
      </c>
      <c r="R22" s="4">
        <v>24</v>
      </c>
      <c r="S22" s="4">
        <v>70</v>
      </c>
      <c r="T22" s="4">
        <v>650</v>
      </c>
      <c r="U22" s="4">
        <v>28</v>
      </c>
      <c r="V22" s="4">
        <v>70</v>
      </c>
      <c r="W22" s="4">
        <v>600</v>
      </c>
      <c r="X22" s="4">
        <v>30</v>
      </c>
      <c r="Y22" s="4">
        <v>66</v>
      </c>
      <c r="Z22" s="4">
        <v>560</v>
      </c>
    </row>
    <row r="23" ht="17.25" customHeight="1" spans="1:26">
      <c r="A23" s="4">
        <v>560</v>
      </c>
      <c r="B23" s="4">
        <v>520</v>
      </c>
      <c r="C23" s="4">
        <v>30</v>
      </c>
      <c r="D23" s="4">
        <v>60</v>
      </c>
      <c r="E23" s="4">
        <v>500</v>
      </c>
      <c r="F23" s="4">
        <v>28</v>
      </c>
      <c r="G23" s="4">
        <v>66</v>
      </c>
      <c r="H23" s="4">
        <v>560</v>
      </c>
      <c r="I23" s="4">
        <v>20</v>
      </c>
      <c r="J23" s="4">
        <v>74</v>
      </c>
      <c r="K23" s="4">
        <v>650</v>
      </c>
      <c r="L23" s="4">
        <v>28</v>
      </c>
      <c r="M23" s="4">
        <v>66</v>
      </c>
      <c r="N23" s="4">
        <v>560</v>
      </c>
      <c r="O23" s="4">
        <v>26</v>
      </c>
      <c r="P23" s="4">
        <v>66</v>
      </c>
      <c r="Q23" s="4">
        <v>540</v>
      </c>
      <c r="R23" s="4">
        <v>24</v>
      </c>
      <c r="S23" s="4">
        <v>70</v>
      </c>
      <c r="T23" s="4">
        <v>650</v>
      </c>
      <c r="U23" s="4">
        <v>28</v>
      </c>
      <c r="V23" s="4">
        <v>70</v>
      </c>
      <c r="W23" s="4">
        <v>600</v>
      </c>
      <c r="X23" s="4">
        <v>30</v>
      </c>
      <c r="Y23" s="4">
        <v>66</v>
      </c>
      <c r="Z23" s="4">
        <v>560</v>
      </c>
    </row>
    <row r="24" ht="17.25" customHeight="1" spans="1:26">
      <c r="A24" s="4">
        <v>580</v>
      </c>
      <c r="B24" s="4">
        <v>540</v>
      </c>
      <c r="C24" s="4">
        <v>30</v>
      </c>
      <c r="D24" s="4">
        <v>62</v>
      </c>
      <c r="E24" s="4">
        <v>520</v>
      </c>
      <c r="F24" s="4">
        <v>30</v>
      </c>
      <c r="G24" s="4">
        <v>68</v>
      </c>
      <c r="H24" s="4">
        <v>580</v>
      </c>
      <c r="I24" s="4">
        <v>21</v>
      </c>
      <c r="J24" s="4">
        <v>76</v>
      </c>
      <c r="K24" s="4">
        <v>680</v>
      </c>
      <c r="L24" s="4">
        <v>30</v>
      </c>
      <c r="M24" s="4">
        <v>68</v>
      </c>
      <c r="N24" s="4">
        <v>580</v>
      </c>
      <c r="O24" s="4">
        <v>28</v>
      </c>
      <c r="P24" s="4">
        <v>68</v>
      </c>
      <c r="Q24" s="4">
        <v>560</v>
      </c>
      <c r="R24" s="4">
        <v>26</v>
      </c>
      <c r="S24" s="4">
        <v>72</v>
      </c>
      <c r="T24" s="4">
        <v>680</v>
      </c>
      <c r="U24" s="4">
        <v>30</v>
      </c>
      <c r="V24" s="4">
        <v>72</v>
      </c>
      <c r="W24" s="4">
        <v>620</v>
      </c>
      <c r="X24" s="4">
        <v>30</v>
      </c>
      <c r="Y24" s="4">
        <v>68</v>
      </c>
      <c r="Z24" s="4">
        <v>580</v>
      </c>
    </row>
    <row r="25" ht="17.25" customHeight="1" spans="1:26">
      <c r="A25" s="4">
        <v>580</v>
      </c>
      <c r="B25" s="4">
        <v>540</v>
      </c>
      <c r="C25" s="4">
        <v>30</v>
      </c>
      <c r="D25" s="4">
        <v>62</v>
      </c>
      <c r="E25" s="4">
        <v>520</v>
      </c>
      <c r="F25" s="4">
        <v>30</v>
      </c>
      <c r="G25" s="4">
        <v>68</v>
      </c>
      <c r="H25" s="4">
        <v>580</v>
      </c>
      <c r="I25" s="4">
        <v>21</v>
      </c>
      <c r="J25" s="4">
        <v>76</v>
      </c>
      <c r="K25" s="4">
        <v>680</v>
      </c>
      <c r="L25" s="4">
        <v>30</v>
      </c>
      <c r="M25" s="4">
        <v>68</v>
      </c>
      <c r="N25" s="4">
        <v>580</v>
      </c>
      <c r="O25" s="4">
        <v>28</v>
      </c>
      <c r="P25" s="4">
        <v>68</v>
      </c>
      <c r="Q25" s="4">
        <v>560</v>
      </c>
      <c r="R25" s="4">
        <v>26</v>
      </c>
      <c r="S25" s="4">
        <v>72</v>
      </c>
      <c r="T25" s="4">
        <v>680</v>
      </c>
      <c r="U25" s="4">
        <v>30</v>
      </c>
      <c r="V25" s="4">
        <v>72</v>
      </c>
      <c r="W25" s="4">
        <v>620</v>
      </c>
      <c r="X25" s="4">
        <v>30</v>
      </c>
      <c r="Y25" s="4">
        <v>68</v>
      </c>
      <c r="Z25" s="4">
        <v>580</v>
      </c>
    </row>
    <row r="26" ht="17.25" customHeight="1" spans="1:26">
      <c r="A26" s="4">
        <v>600</v>
      </c>
      <c r="B26" s="4">
        <v>560</v>
      </c>
      <c r="C26" s="4">
        <v>32</v>
      </c>
      <c r="D26" s="4">
        <v>64</v>
      </c>
      <c r="E26" s="4">
        <v>540</v>
      </c>
      <c r="F26" s="4">
        <v>30</v>
      </c>
      <c r="G26" s="4">
        <v>70</v>
      </c>
      <c r="H26" s="4">
        <v>600</v>
      </c>
      <c r="I26" s="4">
        <v>22</v>
      </c>
      <c r="J26" s="4">
        <v>78</v>
      </c>
      <c r="K26" s="4">
        <v>710</v>
      </c>
      <c r="L26" s="4">
        <v>30</v>
      </c>
      <c r="M26" s="4">
        <v>70</v>
      </c>
      <c r="N26" s="4">
        <v>600</v>
      </c>
      <c r="O26" s="4">
        <v>30</v>
      </c>
      <c r="P26" s="4">
        <v>70</v>
      </c>
      <c r="Q26" s="4">
        <v>580</v>
      </c>
      <c r="R26" s="4">
        <v>28</v>
      </c>
      <c r="S26" s="4">
        <v>74</v>
      </c>
      <c r="T26" s="4">
        <v>720</v>
      </c>
      <c r="U26" s="4">
        <v>30</v>
      </c>
      <c r="V26" s="4">
        <v>74</v>
      </c>
      <c r="W26" s="4">
        <v>650</v>
      </c>
      <c r="X26" s="4">
        <v>32</v>
      </c>
      <c r="Y26" s="4">
        <v>70</v>
      </c>
      <c r="Z26" s="4">
        <v>600</v>
      </c>
    </row>
    <row r="27" ht="17.25" customHeight="1" spans="1:26">
      <c r="A27" s="4">
        <v>600</v>
      </c>
      <c r="B27" s="4">
        <v>560</v>
      </c>
      <c r="C27" s="4">
        <v>32</v>
      </c>
      <c r="D27" s="4">
        <v>64</v>
      </c>
      <c r="E27" s="4">
        <v>540</v>
      </c>
      <c r="F27" s="4">
        <v>30</v>
      </c>
      <c r="G27" s="4">
        <v>70</v>
      </c>
      <c r="H27" s="4">
        <v>600</v>
      </c>
      <c r="I27" s="4">
        <v>22</v>
      </c>
      <c r="J27" s="4">
        <v>78</v>
      </c>
      <c r="K27" s="4">
        <v>710</v>
      </c>
      <c r="L27" s="4">
        <v>30</v>
      </c>
      <c r="M27" s="4">
        <v>70</v>
      </c>
      <c r="N27" s="4">
        <v>600</v>
      </c>
      <c r="O27" s="4">
        <v>30</v>
      </c>
      <c r="P27" s="4">
        <v>70</v>
      </c>
      <c r="Q27" s="4">
        <v>580</v>
      </c>
      <c r="R27" s="4">
        <v>28</v>
      </c>
      <c r="S27" s="4">
        <v>74</v>
      </c>
      <c r="T27" s="4">
        <v>720</v>
      </c>
      <c r="U27" s="4">
        <v>30</v>
      </c>
      <c r="V27" s="4">
        <v>74</v>
      </c>
      <c r="W27" s="4">
        <v>650</v>
      </c>
      <c r="X27" s="4">
        <v>32</v>
      </c>
      <c r="Y27" s="4">
        <v>70</v>
      </c>
      <c r="Z27" s="4">
        <v>600</v>
      </c>
    </row>
    <row r="28" ht="17.25" customHeight="1" spans="1:26">
      <c r="A28" s="4">
        <v>620</v>
      </c>
      <c r="B28" s="4">
        <v>580</v>
      </c>
      <c r="C28" s="4">
        <v>34</v>
      </c>
      <c r="D28" s="4">
        <v>66</v>
      </c>
      <c r="E28" s="4">
        <v>560</v>
      </c>
      <c r="F28" s="4">
        <v>30</v>
      </c>
      <c r="G28" s="4">
        <v>72</v>
      </c>
      <c r="H28" s="4">
        <v>620</v>
      </c>
      <c r="I28" s="4">
        <v>24</v>
      </c>
      <c r="J28" s="4">
        <v>80</v>
      </c>
      <c r="K28" s="4">
        <v>740</v>
      </c>
      <c r="L28" s="4">
        <v>30</v>
      </c>
      <c r="M28" s="4">
        <v>72</v>
      </c>
      <c r="N28" s="4">
        <v>620</v>
      </c>
      <c r="O28" s="4">
        <v>30</v>
      </c>
      <c r="P28" s="4">
        <v>72</v>
      </c>
      <c r="Q28" s="4">
        <v>600</v>
      </c>
      <c r="R28" s="4">
        <v>30</v>
      </c>
      <c r="S28" s="4">
        <v>76</v>
      </c>
      <c r="T28" s="4">
        <v>800</v>
      </c>
      <c r="U28" s="4">
        <v>30</v>
      </c>
      <c r="V28" s="4">
        <v>80</v>
      </c>
      <c r="W28" s="4">
        <v>680</v>
      </c>
      <c r="X28" s="4">
        <v>36</v>
      </c>
      <c r="Y28" s="4">
        <v>72</v>
      </c>
      <c r="Z28" s="4">
        <v>620</v>
      </c>
    </row>
    <row r="29" ht="17.25" customHeight="1" spans="1:26">
      <c r="A29" s="4">
        <v>620</v>
      </c>
      <c r="B29" s="4">
        <v>580</v>
      </c>
      <c r="C29" s="4">
        <v>34</v>
      </c>
      <c r="D29" s="4">
        <v>66</v>
      </c>
      <c r="E29" s="4">
        <v>560</v>
      </c>
      <c r="F29" s="4">
        <v>30</v>
      </c>
      <c r="G29" s="4">
        <v>72</v>
      </c>
      <c r="H29" s="4">
        <v>620</v>
      </c>
      <c r="I29" s="4">
        <v>24</v>
      </c>
      <c r="J29" s="4">
        <v>80</v>
      </c>
      <c r="K29" s="4">
        <v>740</v>
      </c>
      <c r="L29" s="4">
        <v>30</v>
      </c>
      <c r="M29" s="4">
        <v>72</v>
      </c>
      <c r="N29" s="4">
        <v>620</v>
      </c>
      <c r="O29" s="4">
        <v>30</v>
      </c>
      <c r="P29" s="4">
        <v>72</v>
      </c>
      <c r="Q29" s="4">
        <v>600</v>
      </c>
      <c r="R29" s="4">
        <v>30</v>
      </c>
      <c r="S29" s="4">
        <v>76</v>
      </c>
      <c r="T29" s="4">
        <v>800</v>
      </c>
      <c r="U29" s="4">
        <v>30</v>
      </c>
      <c r="V29" s="4">
        <v>80</v>
      </c>
      <c r="W29" s="4">
        <v>680</v>
      </c>
      <c r="X29" s="4">
        <v>36</v>
      </c>
      <c r="Y29" s="4">
        <v>72</v>
      </c>
      <c r="Z29" s="4">
        <v>620</v>
      </c>
    </row>
    <row r="30" ht="17.25" customHeight="1" spans="1:26">
      <c r="A30" s="4">
        <v>650</v>
      </c>
      <c r="B30" s="4">
        <v>600</v>
      </c>
      <c r="C30" s="4">
        <v>36</v>
      </c>
      <c r="D30" s="4">
        <v>68</v>
      </c>
      <c r="E30" s="4">
        <v>580</v>
      </c>
      <c r="F30" s="4">
        <v>30</v>
      </c>
      <c r="G30" s="4">
        <v>74</v>
      </c>
      <c r="H30" s="4">
        <v>650</v>
      </c>
      <c r="I30" s="4">
        <v>26</v>
      </c>
      <c r="J30" s="4">
        <v>90</v>
      </c>
      <c r="K30" s="4">
        <v>800</v>
      </c>
      <c r="L30" s="4">
        <v>30</v>
      </c>
      <c r="M30" s="4">
        <v>74</v>
      </c>
      <c r="N30" s="4">
        <v>650</v>
      </c>
      <c r="O30" s="4">
        <v>30</v>
      </c>
      <c r="P30" s="4">
        <v>74</v>
      </c>
      <c r="Q30" s="4">
        <v>620</v>
      </c>
      <c r="R30" s="4">
        <v>30</v>
      </c>
      <c r="S30" s="4">
        <v>78</v>
      </c>
      <c r="T30" s="4">
        <v>900</v>
      </c>
      <c r="U30" s="4">
        <v>30</v>
      </c>
      <c r="V30" s="4">
        <v>100</v>
      </c>
      <c r="W30" s="4">
        <v>750</v>
      </c>
      <c r="X30" s="4">
        <v>40</v>
      </c>
      <c r="Y30" s="4">
        <v>74</v>
      </c>
      <c r="Z30" s="4">
        <v>650</v>
      </c>
    </row>
    <row r="31" ht="17.25" customHeight="1" spans="1:26">
      <c r="A31" s="4">
        <v>650</v>
      </c>
      <c r="B31" s="4">
        <v>600</v>
      </c>
      <c r="C31" s="4">
        <v>36</v>
      </c>
      <c r="D31" s="4">
        <v>68</v>
      </c>
      <c r="E31" s="4">
        <v>580</v>
      </c>
      <c r="F31" s="4">
        <v>30</v>
      </c>
      <c r="G31" s="4">
        <v>74</v>
      </c>
      <c r="H31" s="4">
        <v>650</v>
      </c>
      <c r="I31" s="4">
        <v>26</v>
      </c>
      <c r="J31" s="4">
        <v>90</v>
      </c>
      <c r="K31" s="4">
        <v>800</v>
      </c>
      <c r="L31" s="4">
        <v>30</v>
      </c>
      <c r="M31" s="4">
        <v>74</v>
      </c>
      <c r="N31" s="4">
        <v>650</v>
      </c>
      <c r="O31" s="4">
        <v>30</v>
      </c>
      <c r="P31" s="4">
        <v>74</v>
      </c>
      <c r="Q31" s="4">
        <v>620</v>
      </c>
      <c r="R31" s="4">
        <v>30</v>
      </c>
      <c r="S31" s="4">
        <v>78</v>
      </c>
      <c r="T31" s="4">
        <v>900</v>
      </c>
      <c r="U31" s="4">
        <v>30</v>
      </c>
      <c r="V31" s="4">
        <v>100</v>
      </c>
      <c r="W31" s="4">
        <v>750</v>
      </c>
      <c r="X31" s="4">
        <v>40</v>
      </c>
      <c r="Y31" s="4">
        <v>74</v>
      </c>
      <c r="Z31" s="4">
        <v>650</v>
      </c>
    </row>
    <row r="32" spans="1:26">
      <c r="A32">
        <f t="shared" ref="A32:Z32" si="0">SUM(A2:A31)</f>
        <v>15000</v>
      </c>
      <c r="B32">
        <f t="shared" si="0"/>
        <v>13860</v>
      </c>
      <c r="C32">
        <f t="shared" si="0"/>
        <v>800</v>
      </c>
      <c r="D32">
        <f t="shared" si="0"/>
        <v>1620</v>
      </c>
      <c r="E32">
        <f t="shared" si="0"/>
        <v>13060</v>
      </c>
      <c r="F32">
        <f t="shared" si="0"/>
        <v>692</v>
      </c>
      <c r="G32">
        <f t="shared" si="0"/>
        <v>1800</v>
      </c>
      <c r="H32">
        <f t="shared" si="0"/>
        <v>15000</v>
      </c>
      <c r="I32">
        <f t="shared" si="0"/>
        <v>510</v>
      </c>
      <c r="J32">
        <f t="shared" si="0"/>
        <v>2056</v>
      </c>
      <c r="K32">
        <f t="shared" si="0"/>
        <v>17780</v>
      </c>
      <c r="L32">
        <f t="shared" si="0"/>
        <v>692</v>
      </c>
      <c r="M32">
        <f t="shared" si="0"/>
        <v>1800</v>
      </c>
      <c r="N32">
        <f t="shared" si="0"/>
        <v>15000</v>
      </c>
      <c r="O32">
        <f t="shared" si="0"/>
        <v>660</v>
      </c>
      <c r="P32">
        <f t="shared" si="0"/>
        <v>1800</v>
      </c>
      <c r="Q32">
        <f t="shared" si="0"/>
        <v>14360</v>
      </c>
      <c r="R32">
        <f t="shared" si="0"/>
        <v>618</v>
      </c>
      <c r="S32">
        <f t="shared" si="0"/>
        <v>1920</v>
      </c>
      <c r="T32">
        <f t="shared" si="0"/>
        <v>18080</v>
      </c>
      <c r="U32">
        <f t="shared" si="0"/>
        <v>692</v>
      </c>
      <c r="V32">
        <f t="shared" si="0"/>
        <v>1972</v>
      </c>
      <c r="W32">
        <f t="shared" si="0"/>
        <v>16400</v>
      </c>
      <c r="X32">
        <f t="shared" si="0"/>
        <v>812</v>
      </c>
      <c r="Y32">
        <f t="shared" si="0"/>
        <v>1800</v>
      </c>
      <c r="Z32">
        <f t="shared" si="0"/>
        <v>15000</v>
      </c>
    </row>
    <row r="33" ht="17.25" customHeight="1" spans="1:25">
      <c r="I33" s="4"/>
    </row>
    <row r="34" spans="1:25">
      <c r="A34" t="s">
        <v>1140</v>
      </c>
      <c r="B34" t="s">
        <v>1141</v>
      </c>
    </row>
    <row r="35" spans="1:25">
      <c r="A35">
        <v>692</v>
      </c>
      <c r="B35">
        <v>1680</v>
      </c>
    </row>
    <row r="36" s="1" customFormat="1" spans="1:25">
      <c r="A36" s="1" t="s">
        <v>1142</v>
      </c>
      <c r="B36" s="1" t="s">
        <v>1143</v>
      </c>
      <c r="C36" s="1" t="s">
        <v>1144</v>
      </c>
      <c r="D36" s="5"/>
    </row>
    <row r="37" spans="1:25">
      <c r="A37">
        <v>944</v>
      </c>
      <c r="B37">
        <v>464</v>
      </c>
      <c r="C37">
        <f>C32*$A$37/$A$35</f>
        <v>1091.32947976879</v>
      </c>
      <c r="D37">
        <f>D32*$B$37/$B$35</f>
        <v>447.428571428571</v>
      </c>
      <c r="F37">
        <f>F32*$A$37/$A$35</f>
        <v>944</v>
      </c>
      <c r="G37">
        <f>G32*$B$37/$B$35</f>
        <v>497.142857142857</v>
      </c>
      <c r="I37">
        <f>I32*$A$37/$A$35</f>
        <v>695.722543352601</v>
      </c>
      <c r="J37">
        <f>J32*$B$37/$B$35</f>
        <v>567.847619047619</v>
      </c>
      <c r="L37">
        <f>L32*$A$37/$A$35</f>
        <v>944</v>
      </c>
      <c r="M37">
        <f>M32*$B$37/$B$35</f>
        <v>497.142857142857</v>
      </c>
      <c r="O37">
        <f>O32*$A$37/$A$35</f>
        <v>900.346820809249</v>
      </c>
      <c r="P37">
        <f>P32*$B$37/$B$35</f>
        <v>497.142857142857</v>
      </c>
      <c r="R37">
        <f>R32*$A$37/$A$35</f>
        <v>843.052023121387</v>
      </c>
      <c r="S37">
        <f>S32*$B$37/$B$35</f>
        <v>530.285714285714</v>
      </c>
      <c r="U37">
        <f>U32*$A$37/$A$35</f>
        <v>944</v>
      </c>
      <c r="V37">
        <f>V32*$B$37/$B$35</f>
        <v>544.647619047619</v>
      </c>
      <c r="X37">
        <f>X32*$A$37/$A$35</f>
        <v>1107.69942196532</v>
      </c>
      <c r="Y37">
        <f>Y32*$B$37/$B$35</f>
        <v>497.142857142857</v>
      </c>
    </row>
    <row r="43" spans="1:25">
      <c r="L43" s="6" t="s">
        <v>1145</v>
      </c>
      <c r="M43" s="6" t="s">
        <v>1146</v>
      </c>
      <c r="N43" s="6" t="s">
        <v>1147</v>
      </c>
      <c r="O43" s="6" t="s">
        <v>1148</v>
      </c>
      <c r="P43" s="6" t="s">
        <v>1149</v>
      </c>
      <c r="Q43" s="6" t="s">
        <v>1147</v>
      </c>
    </row>
    <row r="44" spans="1:25">
      <c r="L44">
        <v>949</v>
      </c>
      <c r="M44">
        <v>4000</v>
      </c>
      <c r="N44">
        <f>M44/L44</f>
        <v>4.21496311907271</v>
      </c>
      <c r="O44">
        <v>463</v>
      </c>
      <c r="P44">
        <v>2800</v>
      </c>
      <c r="Q44">
        <f>P44/O44</f>
        <v>6.0475161987041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具体套装</vt:lpstr>
      <vt:lpstr>装备等级与属性规则</vt:lpstr>
      <vt:lpstr>装备id规则</vt:lpstr>
      <vt:lpstr>装备强化规则</vt:lpstr>
      <vt:lpstr>装备强化材料</vt:lpstr>
      <vt:lpstr>装备精炼材料</vt:lpstr>
      <vt:lpstr>辅助设计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2021-07-01T02:39:00Z</dcterms:created>
  <dcterms:modified xsi:type="dcterms:W3CDTF">2026-01-21T08:40:11Z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A429F1185F60454186DC76C03EC6EE19_12</vt:lpwstr>
  </property>
  <property fmtid="{D5CDD505-2E9C-101B-9397-08002B2CF9AE}" pid="4" name="CalculationRule">
    <vt:i4>0</vt:i4>
  </property>
</Properties>
</file>