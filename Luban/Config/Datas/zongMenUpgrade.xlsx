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45" windowHeight="10605"/>
  </bookViews>
  <sheets>
    <sheet name="Sheet1" sheetId="1" r:id="rId1"/>
    <sheet name="解锁功能" sheetId="2" r:id="rId2"/>
    <sheet name="消耗" sheetId="3" r:id="rId3"/>
    <sheet name="Sheet2" sheetId="4" r:id="rId4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<sst xmlns="http://schemas.openxmlformats.org/spreadsheetml/2006/main" count="605" uniqueCount="312">
  <si>
    <t>##var</t>
  </si>
  <si>
    <t>id</t>
  </si>
  <si>
    <t>cost</t>
  </si>
  <si>
    <t>unlockDes</t>
  </si>
  <si>
    <t>costTime</t>
  </si>
  <si>
    <t>rent</t>
  </si>
  <si>
    <t>unlockedBuilding</t>
  </si>
  <si>
    <t>farmNumLimit</t>
  </si>
  <si>
    <t>tiliLimit</t>
  </si>
  <si>
    <t>specialFarmLevelLimit</t>
  </si>
  <si>
    <t>specialMatNeed</t>
  </si>
  <si>
    <t>##type</t>
  </si>
  <si>
    <t>string</t>
  </si>
  <si>
    <t>##</t>
  </si>
  <si>
    <t>10001|1$10006|$20001|$20002|$20003|$20004|$20005|$30001|$30002|$30003|$30004|$30005|$40001|$40002|$40003|$40004|$40005|$50001|$60001|$70001|</t>
  </si>
  <si>
    <t>10</t>
  </si>
  <si>
    <t>50001|1$60001|0$10006|1</t>
  </si>
  <si>
    <t>|||体力上限+10||市场上限+1|建筑等级上限+1|随从数量+3|可以建造基础矿坑|</t>
  </si>
  <si>
    <t>100</t>
  </si>
  <si>
    <t>10001|2$10006|$20001|1$20002|$20003|$20004|$20005|$30001|$30002|$30003|$30004|$30005|$40001|$40002|$40003|$40004|$40005|$50001|$60001|$70001|</t>
  </si>
  <si>
    <t>20</t>
  </si>
  <si>
    <t>50001|1$60001|1$10006|1</t>
  </si>
  <si>
    <t>||体力上限+10|解锁更多空地|建筑等级上限+1|随从数量+3|可以建造铁匠铺|</t>
  </si>
  <si>
    <t>170</t>
  </si>
  <si>
    <t>10001|2$10006|$20001|1$20002|$20003|$20004|$20005|$30001|$30002|$30003|$30004|$30005|$40001|$40002|$40003|$40004|$40005|$50001|1$60001|$70001|</t>
  </si>
  <si>
    <t>30</t>
  </si>
  <si>
    <t>可建造二级炼金房||体力上限+10|解锁更多空地|可以建造萤光草圃|建筑等级上限+1|随从数量+3|可以建造炼金房|</t>
  </si>
  <si>
    <t>240</t>
  </si>
  <si>
    <t>10001|2$10006|1$20001|1$20002|$20003|$20004|$20005|$30001|1$30002|$30003|$30004|$30005|$40001|$40002|$40003|$40004|$40005|$50001|1$60001|$70001|</t>
  </si>
  <si>
    <t>40</t>
  </si>
  <si>
    <t xml:space="preserve">50001|1$60001|1$10006|  </t>
  </si>
  <si>
    <t>|可以建造宝石工坊|体力上限+10||解锁更多空地|建筑等级上限+1|随从数量+3|可以建造档案馆|</t>
  </si>
  <si>
    <t>310</t>
  </si>
  <si>
    <t>10001|2$10006|1$20001|1$20002|$20003|$20004|$20005|$30001|1$30002|$30003|$30004|$30005|$40001|1$40002|$40003|$40004|$40005|$50001|1$60001|1$70001|</t>
  </si>
  <si>
    <t>50</t>
  </si>
  <si>
    <t>50001|1$60001|1$10006|2</t>
  </si>
  <si>
    <t>||体力上限+10||基础矿坑上限+1|建筑等级上限+1|随从数量+3||</t>
  </si>
  <si>
    <t>380</t>
  </si>
  <si>
    <t>10001|2$10006|1$20001|2$20002|$20003|$20004|$20005|$30001|1$30002|$30003|$30004|$30005|$40001|1$40002|$40003|$40004|$40005|$50001|1$60001|1$70001|</t>
  </si>
  <si>
    <t>60</t>
  </si>
  <si>
    <t>161001|12$</t>
  </si>
  <si>
    <t>可建造三级炼金房||体力上限+10|解锁更多空地|基础萤光草圃上限+1|建筑等级上限+1|随从数量+3||</t>
  </si>
  <si>
    <t>450</t>
  </si>
  <si>
    <t>10001|2$10006|1$20001|2$20002|$20003|$20004|$20005|$30001|2$30002|$30003|$30004|$30005|$40001|1$40002|$40003|$40004|$40005|$50001|1$60001|1$70001|</t>
  </si>
  <si>
    <t>70</t>
  </si>
  <si>
    <t>50001|1$60001|1$10006|3</t>
  </si>
  <si>
    <t>161001|14$</t>
  </si>
  <si>
    <t>||体力上限+10|||建筑等级上限+1|随从数量+3||</t>
  </si>
  <si>
    <t>520</t>
  </si>
  <si>
    <t>80</t>
  </si>
  <si>
    <t>161001|16$</t>
  </si>
  <si>
    <t>590</t>
  </si>
  <si>
    <t>90</t>
  </si>
  <si>
    <t>161001|18$</t>
  </si>
  <si>
    <t>660</t>
  </si>
  <si>
    <t>161001|20$171001|1</t>
  </si>
  <si>
    <t>可建造四级炼金房|可建造二级铁匠铺|体力上限+10|可以建造高级矿坑|解锁更多空地|建筑等级上限+1|随从数量+3|可以建造高级萤光草圃|可以建造高级档案馆</t>
  </si>
  <si>
    <t>730</t>
  </si>
  <si>
    <t>10001|2$10006|1$20001|2$20002|1$20003|$20004|$20005|$30001|2$30002|1$30003|$30004|$30005|$40001|1$40002|1$40003|$40004|$40005|$50001|1$60001|1$70001|</t>
  </si>
  <si>
    <t>110</t>
  </si>
  <si>
    <t>50001|2$60001|2$10006|4</t>
  </si>
  <si>
    <t>162001|22$</t>
  </si>
  <si>
    <t>||体力上限+10||市场上限+1|建筑等级上限+1|随从数量+3||</t>
  </si>
  <si>
    <t>800</t>
  </si>
  <si>
    <t>10001|3$10006|1$20001|2$20002|1$20003|$20004|$20005|$30001|2$30002|1$30003|$30004|$30005|$40001|1$40002|1$40003|$40004|$40005|$50001|1$60001|1$70001|</t>
  </si>
  <si>
    <t>120</t>
  </si>
  <si>
    <t>162001|24$</t>
  </si>
  <si>
    <t>870</t>
  </si>
  <si>
    <t>130</t>
  </si>
  <si>
    <t>162001|26$</t>
  </si>
  <si>
    <t>可建造五级炼金房||体力上限+10|||建筑等级上限+1|随从数量+3||</t>
  </si>
  <si>
    <t>940</t>
  </si>
  <si>
    <t>140</t>
  </si>
  <si>
    <t>50001|2$60001|2$10006|5</t>
  </si>
  <si>
    <t>162001|28$</t>
  </si>
  <si>
    <t>1010</t>
  </si>
  <si>
    <t>150</t>
  </si>
  <si>
    <t>162001|30$</t>
  </si>
  <si>
    <t>|解锁更多空地||高级矿坑上限+1|市场上限+1|建筑等级上限+1|随从数量+3|高级萤光草圃上限+1|高级档案馆上限+1</t>
  </si>
  <si>
    <t>1080</t>
  </si>
  <si>
    <t>10001|4$10006|1$20001|2$20002|2$20003|$20004|$20005|$30001|2$30002|2$30003|$30004|$30005|$40001|2$40002|2$40003|$40004|$40005|$50001|1$60001|1$70001|</t>
  </si>
  <si>
    <t>162001|32$</t>
  </si>
  <si>
    <t>可建造六级炼金房|||||建筑等级上限+1|随从数量+3||</t>
  </si>
  <si>
    <t>1150</t>
  </si>
  <si>
    <t>50001|2$60001|2$10006|6</t>
  </si>
  <si>
    <t>162001|34$</t>
  </si>
  <si>
    <t>|||||建筑等级上限+1|随从数量+3||</t>
  </si>
  <si>
    <t>1220</t>
  </si>
  <si>
    <t>162001|36$</t>
  </si>
  <si>
    <t>1290</t>
  </si>
  <si>
    <t>162001|38$</t>
  </si>
  <si>
    <t>1360</t>
  </si>
  <si>
    <t>162001|40$172001|1</t>
  </si>
  <si>
    <t>可建造七级炼金房|解锁更多空地|可建造三级铁匠铺|可以建造精英矿坑|市场上限+1|建筑等级上限+1|随从数量+3|可以建造精英萤光草圃|可以建造精英档案馆</t>
  </si>
  <si>
    <t>1430</t>
  </si>
  <si>
    <t>10001|5$10006|1$20001|2$20002|2$20003|1$20004|$20005|$30001|2$30002|2$30003|1$30004|$30005|$40001|2$40002|2$40003|1$40004|$40005|$50001|1$60001|1$70001|</t>
  </si>
  <si>
    <t>50001|3$60001|3$10006|7</t>
  </si>
  <si>
    <t>163001|42$</t>
  </si>
  <si>
    <t>1500</t>
  </si>
  <si>
    <t>163001|44$</t>
  </si>
  <si>
    <t>1570</t>
  </si>
  <si>
    <t>163001|46$</t>
  </si>
  <si>
    <t>可建造八级炼金房|||||建筑等级上限+1|随从数量+3||</t>
  </si>
  <si>
    <t>1640</t>
  </si>
  <si>
    <t>50001|3$60001|3$10006|8</t>
  </si>
  <si>
    <t>163001|48$</t>
  </si>
  <si>
    <t>1710</t>
  </si>
  <si>
    <t>163001|50$</t>
  </si>
  <si>
    <t>|解锁更多空地||精英矿坑上限+1|市场上限+1|建筑等级上限+1|随从数量+3|精英萤光草圃上限+1|精英档案馆上限+1</t>
  </si>
  <si>
    <t>1780</t>
  </si>
  <si>
    <t>10001|6$10006|1$20001|2$20002|2$20003|2$20004|$20005|$30001|2$30002|2$30003|2$30004|$30005|$40001|2$40002|2$40003|2$40004|$40005|$50001|1$60001|1$70001|</t>
  </si>
  <si>
    <t>163001|52$</t>
  </si>
  <si>
    <t>可建造九级炼金房|||||建筑等级上限+1|随从数量+3||</t>
  </si>
  <si>
    <t>1850</t>
  </si>
  <si>
    <t>50001|3$60001|3$10006|9</t>
  </si>
  <si>
    <t>163001|54$</t>
  </si>
  <si>
    <t>1920</t>
  </si>
  <si>
    <t>163001|56$</t>
  </si>
  <si>
    <t>1990</t>
  </si>
  <si>
    <t>163001|58$</t>
  </si>
  <si>
    <t>2060</t>
  </si>
  <si>
    <t>163001|60$173001|1</t>
  </si>
  <si>
    <t>可建造十级炼金房|解锁更多空地|可建造四级铁匠铺|可以建造精英矿坑|市场上限+1|建筑等级上限+1|随从数量+3|可以建造精英萤光草圃|可以建造精英档案馆</t>
  </si>
  <si>
    <t>2130</t>
  </si>
  <si>
    <t>10001|7$10006|1$20001|2$20002|2$20003|2$20004|1$20005|$30001|2$30002|2$30003|2$30004|1$30005|$40001|2$40002|2$40003|2$40004|1$40005|$50001|1$60001|1$70001|</t>
  </si>
  <si>
    <t>50001|4$60001|4$10006|10</t>
  </si>
  <si>
    <t>164001|62$</t>
  </si>
  <si>
    <t>2200</t>
  </si>
  <si>
    <t>164001|64$</t>
  </si>
  <si>
    <t>2270</t>
  </si>
  <si>
    <t>164001|66$</t>
  </si>
  <si>
    <t>可建造十一级炼金房|||||建筑等级上限+1|随从数量+3||</t>
  </si>
  <si>
    <t>2340</t>
  </si>
  <si>
    <t>50001|4$60001|4$10006|11</t>
  </si>
  <si>
    <t>164001|68$</t>
  </si>
  <si>
    <t>2410</t>
  </si>
  <si>
    <t>164001|70$</t>
  </si>
  <si>
    <t>2480</t>
  </si>
  <si>
    <t>10001|8$10006|1$20001|2$20002|2$20003|2$20004|2$20005|$30001|2$30002|2$30003|2$30004|2$30005|$40001|2$40002|2$40003|2$40004|2$40005|$50001|1$60001|1$70001|</t>
  </si>
  <si>
    <t>164001|72$</t>
  </si>
  <si>
    <t>可建造十二级炼金房|||||建筑等级上限+1|随从数量+3||</t>
  </si>
  <si>
    <t>2550</t>
  </si>
  <si>
    <t>50001|4$60001|4$10006|12</t>
  </si>
  <si>
    <t>164001|74$</t>
  </si>
  <si>
    <t>2620</t>
  </si>
  <si>
    <t>164001|76$</t>
  </si>
  <si>
    <t>2690</t>
  </si>
  <si>
    <t>164001|78$</t>
  </si>
  <si>
    <t>2760</t>
  </si>
  <si>
    <t>164001|80$174001|1</t>
  </si>
  <si>
    <t>可建造十三级炼金房|解锁更多空地|可建造五级铁匠铺|可以建造至尊矿坑|市场上限+1|建筑等级上限+1|随从数量+3|可以建造至尊萤光草圃|可以建造至尊档案馆</t>
  </si>
  <si>
    <t>2830</t>
  </si>
  <si>
    <t>10001|9$10006|1$20001|2$20002|2$20003|2$20004|2$20005|1$30001|2$30002|2$30003|2$30004|2$30005|1$40001|2$40002|2$40003|2$40004|2$40005|1$50001|1$60001|1$70001|</t>
  </si>
  <si>
    <t>50001|5$60001|5$10006|13</t>
  </si>
  <si>
    <t>165001|82$</t>
  </si>
  <si>
    <t>2900</t>
  </si>
  <si>
    <t>165001|84$</t>
  </si>
  <si>
    <t>2970</t>
  </si>
  <si>
    <t>165001|86$</t>
  </si>
  <si>
    <t>可建造十四级炼金房|||||建筑等级上限+1|随从数量+3||</t>
  </si>
  <si>
    <t>3040</t>
  </si>
  <si>
    <t>50001|5$60001|5$10006|14</t>
  </si>
  <si>
    <t>165001|88$</t>
  </si>
  <si>
    <t>3110</t>
  </si>
  <si>
    <t>165001|90$</t>
  </si>
  <si>
    <t>|解锁更多空地||至尊矿坑上限+1|市场上限+1|建筑等级上限+1|随从数量+3|至尊萤光草圃上限+1|至尊档案馆上限+1</t>
  </si>
  <si>
    <t>3180</t>
  </si>
  <si>
    <t>10001|10$10006|1$20001|2$20002|2$20003|2$20004|2$20005|2$30001|2$30002|2$30003|2$30004|2$30005|2$40001|2$40002|2$40003|2$40004|2$40005|2$50001|1$60001|1$70001|</t>
  </si>
  <si>
    <t>165001|92$</t>
  </si>
  <si>
    <t>可建造十五级炼金房|||||建筑等级上限+1|随从数量+3||</t>
  </si>
  <si>
    <t>3250</t>
  </si>
  <si>
    <t>50001|5$60001|5$10006|15</t>
  </si>
  <si>
    <t>165001|94$</t>
  </si>
  <si>
    <t>3320</t>
  </si>
  <si>
    <t>165001|96$</t>
  </si>
  <si>
    <t>3390</t>
  </si>
  <si>
    <t>165001|98$</t>
  </si>
  <si>
    <t>3460</t>
  </si>
  <si>
    <t>165001|100$175001|1</t>
  </si>
  <si>
    <t>特殊建筑等级上限</t>
  </si>
  <si>
    <t>炼器房</t>
  </si>
  <si>
    <t>八卦炉</t>
  </si>
  <si>
    <t>炼丹炉</t>
  </si>
  <si>
    <t>灵田</t>
  </si>
  <si>
    <t>凡级矿场</t>
  </si>
  <si>
    <t>黄级矿场</t>
  </si>
  <si>
    <t>玄级矿场</t>
  </si>
  <si>
    <t>地级矿场</t>
  </si>
  <si>
    <t>天级矿场</t>
  </si>
  <si>
    <t>凡级灵树</t>
  </si>
  <si>
    <t>黄级灵树</t>
  </si>
  <si>
    <t>玄级灵树</t>
  </si>
  <si>
    <t>地级灵树</t>
  </si>
  <si>
    <t>天级灵树</t>
  </si>
  <si>
    <t>凡级藏经阁</t>
  </si>
  <si>
    <t>黄级藏经阁</t>
  </si>
  <si>
    <t>玄级藏经阁</t>
  </si>
  <si>
    <t>地级藏经阁</t>
  </si>
  <si>
    <t>天级藏经阁</t>
  </si>
  <si>
    <t>练功房</t>
  </si>
  <si>
    <t>解锁房间数量</t>
  </si>
  <si>
    <t>源力上限</t>
  </si>
  <si>
    <t>建筑id</t>
  </si>
  <si>
    <t>10006</t>
  </si>
  <si>
    <t>20001</t>
  </si>
  <si>
    <t>20002</t>
  </si>
  <si>
    <t>20003</t>
  </si>
  <si>
    <t>20004</t>
  </si>
  <si>
    <t>20005</t>
  </si>
  <si>
    <t>30001</t>
  </si>
  <si>
    <t>30002</t>
  </si>
  <si>
    <t>30003</t>
  </si>
  <si>
    <t>30004</t>
  </si>
  <si>
    <t>30005</t>
  </si>
  <si>
    <t>40001</t>
  </si>
  <si>
    <t>40002</t>
  </si>
  <si>
    <t>40003</t>
  </si>
  <si>
    <t>40004</t>
  </si>
  <si>
    <t>40005</t>
  </si>
  <si>
    <t>60001</t>
  </si>
  <si>
    <t>1级建筑</t>
  </si>
  <si>
    <t>灵田数量</t>
  </si>
  <si>
    <t>源力上限+10</t>
  </si>
  <si>
    <t>灵田上限+1</t>
  </si>
  <si>
    <t>建筑等级上限+1</t>
  </si>
  <si>
    <t>弟子数量+3</t>
  </si>
  <si>
    <t>可以建造凡级采矿场</t>
  </si>
  <si>
    <t>2级建筑</t>
  </si>
  <si>
    <t>可以建造练功房</t>
  </si>
  <si>
    <t>解锁更多空地</t>
  </si>
  <si>
    <t>可以建造炼器房</t>
  </si>
  <si>
    <t>3级建筑</t>
  </si>
  <si>
    <t xml:space="preserve">  </t>
  </si>
  <si>
    <t>可建造二级炼丹房</t>
  </si>
  <si>
    <t>可以建造灵树</t>
  </si>
  <si>
    <t>可以建造炼丹炉</t>
  </si>
  <si>
    <t>4级建筑</t>
  </si>
  <si>
    <t>可以建造八卦炉</t>
  </si>
  <si>
    <t>可以建造藏经阁</t>
  </si>
  <si>
    <t>5级建筑</t>
  </si>
  <si>
    <t>凡级采矿场上限+1</t>
  </si>
  <si>
    <t>6级建筑</t>
  </si>
  <si>
    <t>可建造三级炼丹房</t>
  </si>
  <si>
    <t>凡级灵树上限+1</t>
  </si>
  <si>
    <t>7级建筑</t>
  </si>
  <si>
    <t>8级建筑</t>
  </si>
  <si>
    <t>9级建筑</t>
  </si>
  <si>
    <t>10级建筑</t>
  </si>
  <si>
    <t>可建造二级八卦炉</t>
  </si>
  <si>
    <t>可建造四级炼丹房</t>
  </si>
  <si>
    <t>可建造二级炼器房</t>
  </si>
  <si>
    <t>可以建造黄级矿场</t>
  </si>
  <si>
    <t>可以建造黄级灵树</t>
  </si>
  <si>
    <t>可以建造黄级藏经阁</t>
  </si>
  <si>
    <t>11级建筑</t>
  </si>
  <si>
    <t>可建造五级炼丹房</t>
  </si>
  <si>
    <t>总共55个位置</t>
  </si>
  <si>
    <t>黄级矿场上限+1</t>
  </si>
  <si>
    <t>黄级灵树上限+1</t>
  </si>
  <si>
    <t>黄级藏经阁上限+1</t>
  </si>
  <si>
    <t>可建造六级炼丹房</t>
  </si>
  <si>
    <t>可建造三级八卦炉</t>
  </si>
  <si>
    <t>可建造七级炼丹房</t>
  </si>
  <si>
    <t>可建造三级炼器房</t>
  </si>
  <si>
    <t>可以建造玄级矿场</t>
  </si>
  <si>
    <t>可以建造玄级灵树</t>
  </si>
  <si>
    <t>可以建造玄级藏经阁</t>
  </si>
  <si>
    <t>20-21需要2关boss材料</t>
  </si>
  <si>
    <t>可建造八级炼丹房</t>
  </si>
  <si>
    <t>玄级矿场上限+1</t>
  </si>
  <si>
    <t>玄级灵树上限+1</t>
  </si>
  <si>
    <t>玄级藏经阁上限+1</t>
  </si>
  <si>
    <t>可建造九级炼丹房</t>
  </si>
  <si>
    <t>可建造四级八卦炉</t>
  </si>
  <si>
    <t>可建造十级炼丹房</t>
  </si>
  <si>
    <t>可建造四级炼器房</t>
  </si>
  <si>
    <t>可以建造地级矿场</t>
  </si>
  <si>
    <t>可以建造地级灵树</t>
  </si>
  <si>
    <t>可以建造地级藏经阁</t>
  </si>
  <si>
    <t>30-31需要3关boss材料</t>
  </si>
  <si>
    <t>可建造十一级炼丹房</t>
  </si>
  <si>
    <t>地级矿场上限+1</t>
  </si>
  <si>
    <t>地级灵树上限+1</t>
  </si>
  <si>
    <t>地级藏经阁上限+1</t>
  </si>
  <si>
    <t>可建造十二级炼丹房</t>
  </si>
  <si>
    <t>可建造五级八卦炉</t>
  </si>
  <si>
    <t>可建造十三级炼丹房</t>
  </si>
  <si>
    <t>可建造五级炼器房</t>
  </si>
  <si>
    <t>可以建造天级矿场</t>
  </si>
  <si>
    <t>可以建造天级灵树</t>
  </si>
  <si>
    <t>可以建造天级藏经阁</t>
  </si>
  <si>
    <t>40-41需要4关boss材料</t>
  </si>
  <si>
    <t>可建造十四级炼丹房</t>
  </si>
  <si>
    <t>天级矿场上限+1</t>
  </si>
  <si>
    <t>天级灵树上限+1</t>
  </si>
  <si>
    <t>天级藏经阁上限+1</t>
  </si>
  <si>
    <t>可建造十五级炼丹房</t>
  </si>
  <si>
    <t>需要的钱</t>
  </si>
  <si>
    <t>虎王神金</t>
  </si>
  <si>
    <t>玉髓</t>
  </si>
  <si>
    <t>星髓</t>
  </si>
  <si>
    <t>仙柱石</t>
  </si>
  <si>
    <t>补天石</t>
  </si>
  <si>
    <t>K</t>
  </si>
  <si>
    <t>A</t>
  </si>
  <si>
    <t>t</t>
  </si>
  <si>
    <t>y(t)</t>
  </si>
  <si>
    <t>161001</t>
  </si>
  <si>
    <t>162001</t>
  </si>
  <si>
    <t>163001</t>
  </si>
  <si>
    <t>164001</t>
  </si>
  <si>
    <t>165001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</si>
</sst>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4">
    <font>
      <sz val="11"/>
      <color theme="1"/>
      <name val="等线"/>
      <charset val="134"/>
      <scheme val="minor"/>
    </font>
    <font>
      <sz val="12"/>
      <color rgb="FF333333"/>
      <name val="Arial"/>
      <charset val="134"/>
    </font>
    <font>
      <sz val="12"/>
      <color rgb="FF000000"/>
      <name val="Microsoft YaHei"/>
      <charset val="134"/>
    </font>
    <font>
      <sz val="10"/>
      <color rgb="FF000000"/>
      <name val="Arial"/>
      <charset val="134"/>
    </font>
    <font>
      <sz val="10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49" fontId="0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wrapText="1"/>
    </xf>
    <xf numFmtId="176" fontId="0" fillId="0" borderId="0" xfId="0" applyNumberFormat="1" applyAlignment="1">
      <alignment horizontal="center" vertical="center" wrapText="1"/>
    </xf>
    <xf numFmtId="49" fontId="0" fillId="0" borderId="0" xfId="0" applyNumberFormat="1" applyFont="1"/>
    <xf numFmtId="0" fontId="0" fillId="0" borderId="0" xfId="0" applyAlignment="1">
      <alignment wrapText="1"/>
    </xf>
    <xf numFmtId="0" fontId="0" fillId="2" borderId="0" xfId="0" applyFill="1"/>
    <xf numFmtId="49" fontId="0" fillId="0" borderId="0" xfId="0" applyNumberFormat="1" applyAlignment="1">
      <alignment wrapText="1"/>
    </xf>
    <xf numFmtId="49" fontId="0" fillId="0" borderId="0" xfId="0" applyNumberFormat="1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tabSelected="1" topLeftCell="A3" workbookViewId="0">
      <selection activeCell="C3" sqref="C3"/>
    </sheetView>
  </sheetViews>
  <sheetFormatPr defaultColWidth="9" defaultRowHeight="14.25"/>
  <cols>
    <col min="1" max="1" width="9" style="14" customWidth="1"/>
    <col min="2" max="2" width="16.5" style="14" customWidth="1"/>
    <col min="3" max="3" width="56.75" style="14" customWidth="1"/>
    <col min="4" max="4" width="24.75" style="14" customWidth="1"/>
    <col min="5" max="5" width="9" style="14" customWidth="1"/>
    <col min="6" max="6" width="10.5" style="14" customWidth="1"/>
    <col min="7" max="7" width="30" style="14" customWidth="1"/>
    <col min="8" max="8" width="9" style="14" customWidth="1"/>
    <col min="9" max="9" width="26.125" style="14" customWidth="1"/>
    <col min="10" max="10" width="15.625" style="14" customWidth="1"/>
    <col min="11" max="16384" width="9" style="14" customWidth="1"/>
  </cols>
  <sheetData>
    <row r="1" ht="28.5" customHeight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ht="99.75" customHeight="1" spans="1:11">
      <c r="A2" t="s">
        <v>11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</row>
    <row r="3" ht="99.75" customHeight="1" spans="1:11">
      <c r="A3" t="s">
        <v>13</v>
      </c>
      <c r="B3" s="14" t="s">
        <v>1</v>
      </c>
      <c r="C3" s="14" t="s">
        <v>2</v>
      </c>
      <c r="D3" s="14" t="s">
        <v>3</v>
      </c>
      <c r="E3" s="14" t="s">
        <v>4</v>
      </c>
      <c r="F3" s="14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4" t="s">
        <v>10</v>
      </c>
    </row>
    <row r="4" ht="99.75" customHeight="1" spans="1:11">
      <c r="B4" s="14">
        <v>1</v>
      </c>
      <c r="C4" s="14">
        <v>1000</v>
      </c>
      <c r="E4" s="14">
        <v>7</v>
      </c>
      <c r="F4" s="14">
        <v>0</v>
      </c>
      <c r="G4" s="14" t="s">
        <v>14</v>
      </c>
      <c r="H4" s="14">
        <v>4</v>
      </c>
      <c r="I4" s="14" t="s">
        <v>15</v>
      </c>
      <c r="J4" t="s">
        <v>16</v>
      </c>
    </row>
    <row r="5" ht="99.75" customHeight="1" spans="1:11">
      <c r="B5" s="14">
        <v>2</v>
      </c>
      <c r="C5" s="14">
        <v>4000</v>
      </c>
      <c r="D5" s="14" t="s">
        <v>17</v>
      </c>
      <c r="E5" s="14">
        <v>7</v>
      </c>
      <c r="F5" s="14" t="s">
        <v>18</v>
      </c>
      <c r="G5" s="14" t="s">
        <v>19</v>
      </c>
      <c r="H5" s="14">
        <v>4</v>
      </c>
      <c r="I5" s="14" t="s">
        <v>20</v>
      </c>
      <c r="J5" t="s">
        <v>21</v>
      </c>
    </row>
    <row r="6" ht="99.75" customHeight="1" spans="1:11">
      <c r="B6" s="14">
        <v>3</v>
      </c>
      <c r="C6" s="14">
        <v>9000</v>
      </c>
      <c r="D6" s="14" t="s">
        <v>22</v>
      </c>
      <c r="E6" s="14">
        <v>7</v>
      </c>
      <c r="F6" s="15" t="s">
        <v>23</v>
      </c>
      <c r="G6" s="14" t="s">
        <v>24</v>
      </c>
      <c r="H6" s="14">
        <v>5</v>
      </c>
      <c r="I6" s="14" t="s">
        <v>25</v>
      </c>
      <c r="J6" t="s">
        <v>21</v>
      </c>
    </row>
    <row r="7" ht="99.75" customHeight="1" spans="1:11">
      <c r="B7" s="14">
        <v>4</v>
      </c>
      <c r="C7" s="14">
        <v>16000</v>
      </c>
      <c r="D7" s="14" t="s">
        <v>26</v>
      </c>
      <c r="E7" s="14">
        <v>7</v>
      </c>
      <c r="F7" s="15" t="s">
        <v>27</v>
      </c>
      <c r="G7" s="14" t="s">
        <v>28</v>
      </c>
      <c r="H7" s="14">
        <v>7</v>
      </c>
      <c r="I7" s="14" t="s">
        <v>29</v>
      </c>
      <c r="J7" t="s">
        <v>30</v>
      </c>
    </row>
    <row r="8" ht="99.75" customHeight="1" spans="1:11">
      <c r="B8" s="14">
        <v>5</v>
      </c>
      <c r="C8" s="14">
        <v>25000</v>
      </c>
      <c r="D8" s="14" t="s">
        <v>31</v>
      </c>
      <c r="E8" s="14">
        <v>7</v>
      </c>
      <c r="F8" s="15" t="s">
        <v>32</v>
      </c>
      <c r="G8" s="14" t="s">
        <v>33</v>
      </c>
      <c r="H8" s="14">
        <v>9</v>
      </c>
      <c r="I8" s="14" t="s">
        <v>34</v>
      </c>
      <c r="J8" t="s">
        <v>35</v>
      </c>
    </row>
    <row r="9" ht="99.75" customHeight="1" spans="1:11">
      <c r="B9" s="14">
        <v>6</v>
      </c>
      <c r="C9" s="14">
        <v>36000</v>
      </c>
      <c r="D9" s="14" t="s">
        <v>36</v>
      </c>
      <c r="E9" s="14">
        <v>7</v>
      </c>
      <c r="F9" s="15" t="s">
        <v>37</v>
      </c>
      <c r="G9" s="14" t="s">
        <v>38</v>
      </c>
      <c r="H9" s="14">
        <v>10</v>
      </c>
      <c r="I9" s="14" t="s">
        <v>39</v>
      </c>
      <c r="J9" t="s">
        <v>35</v>
      </c>
      <c r="K9" s="14" t="s">
        <v>40</v>
      </c>
    </row>
    <row r="10" ht="99.75" customHeight="1" spans="1:11">
      <c r="B10" s="14">
        <v>7</v>
      </c>
      <c r="C10" s="14">
        <v>49000</v>
      </c>
      <c r="D10" s="14" t="s">
        <v>41</v>
      </c>
      <c r="E10" s="14">
        <v>7</v>
      </c>
      <c r="F10" s="15" t="s">
        <v>42</v>
      </c>
      <c r="G10" s="14" t="s">
        <v>43</v>
      </c>
      <c r="H10" s="14">
        <v>11</v>
      </c>
      <c r="I10" s="14" t="s">
        <v>44</v>
      </c>
      <c r="J10" t="s">
        <v>45</v>
      </c>
      <c r="K10" s="14" t="s">
        <v>46</v>
      </c>
    </row>
    <row r="11" ht="99.75" customHeight="1" spans="1:11">
      <c r="B11" s="14">
        <v>8</v>
      </c>
      <c r="C11" s="14">
        <v>64000</v>
      </c>
      <c r="D11" s="14" t="s">
        <v>47</v>
      </c>
      <c r="E11" s="14">
        <v>7</v>
      </c>
      <c r="F11" s="15" t="s">
        <v>48</v>
      </c>
      <c r="G11" s="14" t="s">
        <v>43</v>
      </c>
      <c r="H11" s="14">
        <v>11</v>
      </c>
      <c r="I11" s="14" t="s">
        <v>49</v>
      </c>
      <c r="J11" t="s">
        <v>45</v>
      </c>
      <c r="K11" s="14" t="s">
        <v>50</v>
      </c>
    </row>
    <row r="12" ht="99.75" customHeight="1" spans="1:11">
      <c r="B12" s="14">
        <v>9</v>
      </c>
      <c r="C12" s="14">
        <v>81000</v>
      </c>
      <c r="D12" s="14" t="s">
        <v>47</v>
      </c>
      <c r="E12" s="14">
        <v>7</v>
      </c>
      <c r="F12" s="15" t="s">
        <v>51</v>
      </c>
      <c r="G12" s="14" t="s">
        <v>43</v>
      </c>
      <c r="H12" s="14">
        <v>11</v>
      </c>
      <c r="I12" s="14" t="s">
        <v>52</v>
      </c>
      <c r="J12" t="s">
        <v>45</v>
      </c>
      <c r="K12" s="14" t="s">
        <v>53</v>
      </c>
    </row>
    <row r="13" ht="99.75" customHeight="1" spans="1:11">
      <c r="B13" s="14">
        <v>10</v>
      </c>
      <c r="C13" s="14">
        <v>100000</v>
      </c>
      <c r="D13" s="14" t="s">
        <v>47</v>
      </c>
      <c r="E13" s="14">
        <v>7</v>
      </c>
      <c r="F13" s="15" t="s">
        <v>54</v>
      </c>
      <c r="G13" s="14" t="s">
        <v>43</v>
      </c>
      <c r="H13" s="14">
        <v>11</v>
      </c>
      <c r="I13" s="14" t="s">
        <v>18</v>
      </c>
      <c r="J13" t="s">
        <v>45</v>
      </c>
      <c r="K13" s="5" t="s">
        <v>55</v>
      </c>
    </row>
    <row r="14" ht="99.75" customHeight="1" spans="1:11">
      <c r="B14" s="14">
        <v>11</v>
      </c>
      <c r="C14" s="14">
        <v>121000</v>
      </c>
      <c r="D14" s="14" t="s">
        <v>56</v>
      </c>
      <c r="E14" s="14">
        <v>7</v>
      </c>
      <c r="F14" s="15" t="s">
        <v>57</v>
      </c>
      <c r="G14" s="14" t="s">
        <v>58</v>
      </c>
      <c r="H14" s="14">
        <v>14</v>
      </c>
      <c r="I14" s="14" t="s">
        <v>59</v>
      </c>
      <c r="J14" s="14" t="s">
        <v>60</v>
      </c>
      <c r="K14" s="14" t="s">
        <v>61</v>
      </c>
    </row>
    <row r="15" ht="99.75" customHeight="1" spans="1:11">
      <c r="B15" s="14">
        <v>12</v>
      </c>
      <c r="C15" s="14">
        <v>144000</v>
      </c>
      <c r="D15" s="14" t="s">
        <v>62</v>
      </c>
      <c r="E15" s="14">
        <v>7</v>
      </c>
      <c r="F15" s="15" t="s">
        <v>63</v>
      </c>
      <c r="G15" s="14" t="s">
        <v>64</v>
      </c>
      <c r="H15" s="14">
        <v>15</v>
      </c>
      <c r="I15" s="14" t="s">
        <v>65</v>
      </c>
      <c r="J15" s="14" t="s">
        <v>60</v>
      </c>
      <c r="K15" s="14" t="s">
        <v>66</v>
      </c>
    </row>
    <row r="16" ht="99.75" customHeight="1" spans="1:11">
      <c r="B16" s="14">
        <v>13</v>
      </c>
      <c r="C16" s="14">
        <v>169000</v>
      </c>
      <c r="D16" s="14" t="s">
        <v>47</v>
      </c>
      <c r="E16" s="14">
        <v>7</v>
      </c>
      <c r="F16" s="15" t="s">
        <v>67</v>
      </c>
      <c r="G16" s="14" t="s">
        <v>64</v>
      </c>
      <c r="H16" s="14">
        <v>15</v>
      </c>
      <c r="I16" s="14" t="s">
        <v>68</v>
      </c>
      <c r="J16" s="14" t="s">
        <v>60</v>
      </c>
      <c r="K16" s="14" t="s">
        <v>69</v>
      </c>
    </row>
    <row r="17" ht="99.75" customHeight="1" spans="2:11">
      <c r="B17" s="14">
        <v>14</v>
      </c>
      <c r="C17" s="14">
        <v>196000</v>
      </c>
      <c r="D17" s="14" t="s">
        <v>70</v>
      </c>
      <c r="E17" s="14">
        <v>7</v>
      </c>
      <c r="F17" s="15" t="s">
        <v>71</v>
      </c>
      <c r="G17" s="14" t="s">
        <v>64</v>
      </c>
      <c r="H17" s="14">
        <v>15</v>
      </c>
      <c r="I17" s="14" t="s">
        <v>72</v>
      </c>
      <c r="J17" s="14" t="s">
        <v>73</v>
      </c>
      <c r="K17" s="14" t="s">
        <v>74</v>
      </c>
    </row>
    <row r="18" ht="99.75" customHeight="1" spans="2:11">
      <c r="B18" s="14">
        <v>15</v>
      </c>
      <c r="C18" s="14">
        <v>225000</v>
      </c>
      <c r="D18" s="14" t="s">
        <v>47</v>
      </c>
      <c r="E18" s="14">
        <v>7</v>
      </c>
      <c r="F18" s="15" t="s">
        <v>75</v>
      </c>
      <c r="G18" s="14" t="s">
        <v>64</v>
      </c>
      <c r="H18" s="14">
        <v>15</v>
      </c>
      <c r="I18" s="14" t="s">
        <v>76</v>
      </c>
      <c r="J18" s="14" t="s">
        <v>73</v>
      </c>
      <c r="K18" s="14" t="s">
        <v>77</v>
      </c>
    </row>
    <row r="19" ht="99.75" customHeight="1" spans="2:11">
      <c r="B19" s="14">
        <v>16</v>
      </c>
      <c r="C19" s="14">
        <v>256000</v>
      </c>
      <c r="D19" s="14" t="s">
        <v>78</v>
      </c>
      <c r="E19" s="14">
        <v>7</v>
      </c>
      <c r="F19" s="15" t="s">
        <v>79</v>
      </c>
      <c r="G19" s="14" t="s">
        <v>80</v>
      </c>
      <c r="H19" s="14">
        <v>20</v>
      </c>
      <c r="I19" s="14" t="s">
        <v>76</v>
      </c>
      <c r="J19" s="14" t="s">
        <v>73</v>
      </c>
      <c r="K19" s="14" t="s">
        <v>81</v>
      </c>
    </row>
    <row r="20" ht="99.75" customHeight="1" spans="2:11">
      <c r="B20" s="14">
        <v>17</v>
      </c>
      <c r="C20" s="14">
        <v>289000</v>
      </c>
      <c r="D20" s="14" t="s">
        <v>82</v>
      </c>
      <c r="E20" s="14">
        <v>7</v>
      </c>
      <c r="F20" s="15" t="s">
        <v>83</v>
      </c>
      <c r="G20" s="14" t="s">
        <v>80</v>
      </c>
      <c r="H20" s="14">
        <v>20</v>
      </c>
      <c r="I20" s="14" t="s">
        <v>76</v>
      </c>
      <c r="J20" s="14" t="s">
        <v>84</v>
      </c>
      <c r="K20" s="14" t="s">
        <v>85</v>
      </c>
    </row>
    <row r="21" ht="99.75" customHeight="1" spans="2:11">
      <c r="B21" s="14">
        <v>18</v>
      </c>
      <c r="C21" s="14">
        <v>324000</v>
      </c>
      <c r="D21" s="14" t="s">
        <v>86</v>
      </c>
      <c r="E21" s="14">
        <v>7</v>
      </c>
      <c r="F21" s="15" t="s">
        <v>87</v>
      </c>
      <c r="G21" s="14" t="s">
        <v>80</v>
      </c>
      <c r="H21" s="14">
        <v>20</v>
      </c>
      <c r="I21" s="14" t="s">
        <v>76</v>
      </c>
      <c r="J21" s="14" t="s">
        <v>84</v>
      </c>
      <c r="K21" s="14" t="s">
        <v>88</v>
      </c>
    </row>
    <row r="22" ht="99.75" customHeight="1" spans="2:11">
      <c r="B22" s="14">
        <v>19</v>
      </c>
      <c r="C22" s="14">
        <v>361000</v>
      </c>
      <c r="D22" s="14" t="s">
        <v>86</v>
      </c>
      <c r="E22" s="14">
        <v>7</v>
      </c>
      <c r="F22" s="15" t="s">
        <v>89</v>
      </c>
      <c r="G22" s="14" t="s">
        <v>80</v>
      </c>
      <c r="H22" s="14">
        <v>20</v>
      </c>
      <c r="I22" s="14" t="s">
        <v>76</v>
      </c>
      <c r="J22" s="14" t="s">
        <v>84</v>
      </c>
      <c r="K22" s="14" t="s">
        <v>90</v>
      </c>
    </row>
    <row r="23" ht="99.75" customHeight="1" spans="2:11">
      <c r="B23" s="14">
        <v>20</v>
      </c>
      <c r="C23" s="14">
        <v>400000</v>
      </c>
      <c r="D23" s="14" t="s">
        <v>86</v>
      </c>
      <c r="E23" s="14">
        <v>7</v>
      </c>
      <c r="F23" s="15" t="s">
        <v>91</v>
      </c>
      <c r="G23" s="14" t="s">
        <v>80</v>
      </c>
      <c r="H23" s="14">
        <v>20</v>
      </c>
      <c r="I23" s="14" t="s">
        <v>76</v>
      </c>
      <c r="J23" s="14" t="s">
        <v>84</v>
      </c>
      <c r="K23" s="14" t="s">
        <v>92</v>
      </c>
    </row>
    <row r="24" ht="99.75" customHeight="1" spans="2:11">
      <c r="B24" s="14">
        <v>21</v>
      </c>
      <c r="C24" s="14">
        <v>441000</v>
      </c>
      <c r="D24" s="14" t="s">
        <v>93</v>
      </c>
      <c r="E24" s="14">
        <v>7</v>
      </c>
      <c r="F24" s="15" t="s">
        <v>94</v>
      </c>
      <c r="G24" s="14" t="s">
        <v>95</v>
      </c>
      <c r="H24" s="14">
        <v>24</v>
      </c>
      <c r="I24" s="14" t="s">
        <v>76</v>
      </c>
      <c r="J24" s="14" t="s">
        <v>96</v>
      </c>
      <c r="K24" s="14" t="s">
        <v>97</v>
      </c>
    </row>
    <row r="25" ht="99.75" customHeight="1" spans="2:11">
      <c r="B25" s="14">
        <v>22</v>
      </c>
      <c r="C25" s="14">
        <v>484000</v>
      </c>
      <c r="D25" s="14" t="s">
        <v>86</v>
      </c>
      <c r="E25" s="14">
        <v>7</v>
      </c>
      <c r="F25" s="15" t="s">
        <v>98</v>
      </c>
      <c r="G25" s="14" t="s">
        <v>95</v>
      </c>
      <c r="H25" s="14">
        <v>24</v>
      </c>
      <c r="I25" s="14" t="s">
        <v>76</v>
      </c>
      <c r="J25" s="14" t="s">
        <v>96</v>
      </c>
      <c r="K25" s="14" t="s">
        <v>99</v>
      </c>
    </row>
    <row r="26" ht="99.75" customHeight="1" spans="2:11">
      <c r="B26" s="14">
        <v>23</v>
      </c>
      <c r="C26" s="14">
        <v>529000</v>
      </c>
      <c r="D26" s="14" t="s">
        <v>86</v>
      </c>
      <c r="E26" s="14">
        <v>7</v>
      </c>
      <c r="F26" s="15" t="s">
        <v>100</v>
      </c>
      <c r="G26" s="14" t="s">
        <v>95</v>
      </c>
      <c r="H26" s="14">
        <v>24</v>
      </c>
      <c r="I26" s="14" t="s">
        <v>76</v>
      </c>
      <c r="J26" s="14" t="s">
        <v>96</v>
      </c>
      <c r="K26" s="14" t="s">
        <v>101</v>
      </c>
    </row>
    <row r="27" ht="99.75" customHeight="1" spans="2:11">
      <c r="B27" s="14">
        <v>24</v>
      </c>
      <c r="C27" s="14">
        <v>576000</v>
      </c>
      <c r="D27" s="14" t="s">
        <v>102</v>
      </c>
      <c r="E27" s="14">
        <v>7</v>
      </c>
      <c r="F27" s="15" t="s">
        <v>103</v>
      </c>
      <c r="G27" s="14" t="s">
        <v>95</v>
      </c>
      <c r="H27" s="14">
        <v>24</v>
      </c>
      <c r="I27" s="14" t="s">
        <v>76</v>
      </c>
      <c r="J27" s="14" t="s">
        <v>104</v>
      </c>
      <c r="K27" s="14" t="s">
        <v>105</v>
      </c>
    </row>
    <row r="28" ht="99.75" customHeight="1" spans="2:11">
      <c r="B28" s="14">
        <v>25</v>
      </c>
      <c r="C28" s="14">
        <v>625000</v>
      </c>
      <c r="D28" s="14" t="s">
        <v>86</v>
      </c>
      <c r="E28" s="14">
        <v>7</v>
      </c>
      <c r="F28" s="15" t="s">
        <v>106</v>
      </c>
      <c r="G28" s="14" t="s">
        <v>95</v>
      </c>
      <c r="H28" s="14">
        <v>24</v>
      </c>
      <c r="I28" s="14" t="s">
        <v>76</v>
      </c>
      <c r="J28" s="14" t="s">
        <v>104</v>
      </c>
      <c r="K28" s="14" t="s">
        <v>107</v>
      </c>
    </row>
    <row r="29" ht="99.75" customHeight="1" spans="2:11">
      <c r="B29" s="14">
        <v>26</v>
      </c>
      <c r="C29" s="14">
        <v>676000</v>
      </c>
      <c r="D29" s="14" t="s">
        <v>108</v>
      </c>
      <c r="E29" s="14">
        <v>7</v>
      </c>
      <c r="F29" s="15" t="s">
        <v>109</v>
      </c>
      <c r="G29" s="14" t="s">
        <v>110</v>
      </c>
      <c r="H29" s="14">
        <v>28</v>
      </c>
      <c r="I29" s="14" t="s">
        <v>76</v>
      </c>
      <c r="J29" s="14" t="s">
        <v>104</v>
      </c>
      <c r="K29" s="14" t="s">
        <v>111</v>
      </c>
    </row>
    <row r="30" ht="99.75" customHeight="1" spans="2:11">
      <c r="B30" s="14">
        <v>27</v>
      </c>
      <c r="C30" s="14">
        <v>729000</v>
      </c>
      <c r="D30" s="14" t="s">
        <v>112</v>
      </c>
      <c r="E30" s="14">
        <v>7</v>
      </c>
      <c r="F30" s="15" t="s">
        <v>113</v>
      </c>
      <c r="G30" s="14" t="s">
        <v>110</v>
      </c>
      <c r="H30" s="14">
        <v>28</v>
      </c>
      <c r="I30" s="14" t="s">
        <v>76</v>
      </c>
      <c r="J30" s="14" t="s">
        <v>114</v>
      </c>
      <c r="K30" s="14" t="s">
        <v>115</v>
      </c>
    </row>
    <row r="31" ht="99.75" customHeight="1" spans="2:11">
      <c r="B31" s="14">
        <v>28</v>
      </c>
      <c r="C31" s="14">
        <v>784000</v>
      </c>
      <c r="D31" s="14" t="s">
        <v>86</v>
      </c>
      <c r="E31" s="14">
        <v>7</v>
      </c>
      <c r="F31" s="15" t="s">
        <v>116</v>
      </c>
      <c r="G31" s="14" t="s">
        <v>110</v>
      </c>
      <c r="H31" s="14">
        <v>28</v>
      </c>
      <c r="I31" s="14" t="s">
        <v>76</v>
      </c>
      <c r="J31" s="14" t="s">
        <v>114</v>
      </c>
      <c r="K31" s="14" t="s">
        <v>117</v>
      </c>
    </row>
    <row r="32" ht="99.75" customHeight="1" spans="2:11">
      <c r="B32" s="14">
        <v>29</v>
      </c>
      <c r="C32" s="14">
        <v>841000</v>
      </c>
      <c r="D32" s="14" t="s">
        <v>86</v>
      </c>
      <c r="E32" s="14">
        <v>7</v>
      </c>
      <c r="F32" s="15" t="s">
        <v>118</v>
      </c>
      <c r="G32" s="14" t="s">
        <v>110</v>
      </c>
      <c r="H32" s="14">
        <v>28</v>
      </c>
      <c r="I32" s="14" t="s">
        <v>76</v>
      </c>
      <c r="J32" s="14" t="s">
        <v>114</v>
      </c>
      <c r="K32" s="14" t="s">
        <v>119</v>
      </c>
    </row>
    <row r="33" ht="99.75" customHeight="1" spans="2:11">
      <c r="B33" s="14">
        <v>30</v>
      </c>
      <c r="C33" s="14">
        <v>900000</v>
      </c>
      <c r="D33" s="14" t="s">
        <v>86</v>
      </c>
      <c r="E33" s="14">
        <v>7</v>
      </c>
      <c r="F33" s="15" t="s">
        <v>120</v>
      </c>
      <c r="G33" s="14" t="s">
        <v>110</v>
      </c>
      <c r="H33" s="14">
        <v>28</v>
      </c>
      <c r="I33" s="14" t="s">
        <v>76</v>
      </c>
      <c r="J33" s="14" t="s">
        <v>114</v>
      </c>
      <c r="K33" s="14" t="s">
        <v>121</v>
      </c>
    </row>
    <row r="34" ht="99.75" customHeight="1" spans="2:11">
      <c r="B34" s="14">
        <v>31</v>
      </c>
      <c r="C34" s="14">
        <v>961000</v>
      </c>
      <c r="D34" s="14" t="s">
        <v>122</v>
      </c>
      <c r="E34" s="14">
        <v>7</v>
      </c>
      <c r="F34" s="15" t="s">
        <v>123</v>
      </c>
      <c r="G34" s="14" t="s">
        <v>124</v>
      </c>
      <c r="H34" s="14">
        <v>32</v>
      </c>
      <c r="I34" s="14" t="s">
        <v>76</v>
      </c>
      <c r="J34" s="14" t="s">
        <v>125</v>
      </c>
      <c r="K34" s="14" t="s">
        <v>126</v>
      </c>
    </row>
    <row r="35" ht="99.75" customHeight="1" spans="2:11">
      <c r="B35" s="14">
        <v>32</v>
      </c>
      <c r="C35" s="14">
        <v>1024000</v>
      </c>
      <c r="D35" s="14" t="s">
        <v>86</v>
      </c>
      <c r="E35" s="14">
        <v>7</v>
      </c>
      <c r="F35" s="15" t="s">
        <v>127</v>
      </c>
      <c r="G35" s="14" t="s">
        <v>124</v>
      </c>
      <c r="H35" s="14">
        <v>32</v>
      </c>
      <c r="I35" s="14" t="s">
        <v>76</v>
      </c>
      <c r="J35" s="14" t="s">
        <v>125</v>
      </c>
      <c r="K35" s="14" t="s">
        <v>128</v>
      </c>
    </row>
    <row r="36" ht="99.75" customHeight="1" spans="2:11">
      <c r="B36" s="14">
        <v>33</v>
      </c>
      <c r="C36" s="14">
        <v>1089000</v>
      </c>
      <c r="D36" s="14" t="s">
        <v>86</v>
      </c>
      <c r="E36" s="14">
        <v>7</v>
      </c>
      <c r="F36" s="15" t="s">
        <v>129</v>
      </c>
      <c r="G36" s="14" t="s">
        <v>124</v>
      </c>
      <c r="H36" s="14">
        <v>32</v>
      </c>
      <c r="I36" s="14" t="s">
        <v>76</v>
      </c>
      <c r="J36" s="14" t="s">
        <v>125</v>
      </c>
      <c r="K36" s="14" t="s">
        <v>130</v>
      </c>
    </row>
    <row r="37" ht="99.75" customHeight="1" spans="2:11">
      <c r="B37" s="14">
        <v>34</v>
      </c>
      <c r="C37" s="14">
        <v>1156000</v>
      </c>
      <c r="D37" s="14" t="s">
        <v>131</v>
      </c>
      <c r="E37" s="14">
        <v>7</v>
      </c>
      <c r="F37" s="15" t="s">
        <v>132</v>
      </c>
      <c r="G37" s="14" t="s">
        <v>124</v>
      </c>
      <c r="H37" s="14">
        <v>32</v>
      </c>
      <c r="I37" s="14" t="s">
        <v>76</v>
      </c>
      <c r="J37" s="14" t="s">
        <v>133</v>
      </c>
      <c r="K37" s="14" t="s">
        <v>134</v>
      </c>
    </row>
    <row r="38" ht="99.75" customHeight="1" spans="2:11">
      <c r="B38" s="14">
        <v>35</v>
      </c>
      <c r="C38" s="14">
        <v>1225000</v>
      </c>
      <c r="D38" s="14" t="s">
        <v>86</v>
      </c>
      <c r="E38" s="14">
        <v>7</v>
      </c>
      <c r="F38" s="15" t="s">
        <v>135</v>
      </c>
      <c r="G38" s="14" t="s">
        <v>124</v>
      </c>
      <c r="H38" s="14">
        <v>32</v>
      </c>
      <c r="I38" s="14" t="s">
        <v>76</v>
      </c>
      <c r="J38" s="14" t="s">
        <v>133</v>
      </c>
      <c r="K38" s="14" t="s">
        <v>136</v>
      </c>
    </row>
    <row r="39" ht="99.75" customHeight="1" spans="2:11">
      <c r="B39" s="14">
        <v>36</v>
      </c>
      <c r="C39" s="14">
        <v>1296000</v>
      </c>
      <c r="D39" s="14" t="s">
        <v>108</v>
      </c>
      <c r="E39" s="14">
        <v>7</v>
      </c>
      <c r="F39" s="15" t="s">
        <v>137</v>
      </c>
      <c r="G39" s="14" t="s">
        <v>138</v>
      </c>
      <c r="H39" s="14">
        <v>36</v>
      </c>
      <c r="I39" s="14" t="s">
        <v>76</v>
      </c>
      <c r="J39" s="14" t="s">
        <v>133</v>
      </c>
      <c r="K39" s="14" t="s">
        <v>139</v>
      </c>
    </row>
    <row r="40" ht="99.75" customHeight="1" spans="2:11">
      <c r="B40" s="14">
        <v>37</v>
      </c>
      <c r="C40" s="14">
        <v>1369000</v>
      </c>
      <c r="D40" s="14" t="s">
        <v>140</v>
      </c>
      <c r="E40" s="14">
        <v>7</v>
      </c>
      <c r="F40" s="15" t="s">
        <v>141</v>
      </c>
      <c r="G40" s="14" t="s">
        <v>138</v>
      </c>
      <c r="H40" s="14">
        <v>36</v>
      </c>
      <c r="I40" s="14" t="s">
        <v>76</v>
      </c>
      <c r="J40" s="14" t="s">
        <v>142</v>
      </c>
      <c r="K40" s="14" t="s">
        <v>143</v>
      </c>
    </row>
    <row r="41" ht="99.75" customHeight="1" spans="2:11">
      <c r="B41" s="14">
        <v>38</v>
      </c>
      <c r="C41" s="14">
        <v>1444000</v>
      </c>
      <c r="D41" s="14" t="s">
        <v>86</v>
      </c>
      <c r="E41" s="14">
        <v>7</v>
      </c>
      <c r="F41" s="15" t="s">
        <v>144</v>
      </c>
      <c r="G41" s="14" t="s">
        <v>138</v>
      </c>
      <c r="H41" s="14">
        <v>36</v>
      </c>
      <c r="I41" s="14" t="s">
        <v>76</v>
      </c>
      <c r="J41" s="14" t="s">
        <v>142</v>
      </c>
      <c r="K41" s="14" t="s">
        <v>145</v>
      </c>
    </row>
    <row r="42" ht="99.75" customHeight="1" spans="2:11">
      <c r="B42" s="14">
        <v>39</v>
      </c>
      <c r="C42" s="14">
        <v>1521000</v>
      </c>
      <c r="D42" s="14" t="s">
        <v>86</v>
      </c>
      <c r="E42" s="14">
        <v>7</v>
      </c>
      <c r="F42" s="15" t="s">
        <v>146</v>
      </c>
      <c r="G42" s="14" t="s">
        <v>138</v>
      </c>
      <c r="H42" s="14">
        <v>36</v>
      </c>
      <c r="I42" s="14" t="s">
        <v>76</v>
      </c>
      <c r="J42" s="14" t="s">
        <v>142</v>
      </c>
      <c r="K42" s="14" t="s">
        <v>147</v>
      </c>
    </row>
    <row r="43" ht="99.75" customHeight="1" spans="2:11">
      <c r="B43" s="14">
        <v>40</v>
      </c>
      <c r="C43" s="14">
        <v>1600000</v>
      </c>
      <c r="D43" s="14" t="s">
        <v>86</v>
      </c>
      <c r="E43" s="14">
        <v>7</v>
      </c>
      <c r="F43" s="15" t="s">
        <v>148</v>
      </c>
      <c r="G43" s="14" t="s">
        <v>138</v>
      </c>
      <c r="H43" s="14">
        <v>36</v>
      </c>
      <c r="I43" s="14" t="s">
        <v>76</v>
      </c>
      <c r="J43" s="14" t="s">
        <v>142</v>
      </c>
      <c r="K43" s="14" t="s">
        <v>149</v>
      </c>
    </row>
    <row r="44" ht="99.75" customHeight="1" spans="2:11">
      <c r="B44" s="14">
        <v>41</v>
      </c>
      <c r="C44" s="14">
        <v>1681000</v>
      </c>
      <c r="D44" s="14" t="s">
        <v>150</v>
      </c>
      <c r="E44" s="14">
        <v>7</v>
      </c>
      <c r="F44" s="15" t="s">
        <v>151</v>
      </c>
      <c r="G44" s="14" t="s">
        <v>152</v>
      </c>
      <c r="H44" s="14">
        <v>40</v>
      </c>
      <c r="I44" s="14" t="s">
        <v>76</v>
      </c>
      <c r="J44" s="14" t="s">
        <v>153</v>
      </c>
      <c r="K44" s="14" t="s">
        <v>154</v>
      </c>
    </row>
    <row r="45" ht="99.75" customHeight="1" spans="2:11">
      <c r="B45" s="14">
        <v>42</v>
      </c>
      <c r="C45" s="14">
        <v>1764000</v>
      </c>
      <c r="D45" s="14" t="s">
        <v>86</v>
      </c>
      <c r="E45" s="14">
        <v>7</v>
      </c>
      <c r="F45" s="15" t="s">
        <v>155</v>
      </c>
      <c r="G45" s="14" t="s">
        <v>152</v>
      </c>
      <c r="H45" s="14">
        <v>40</v>
      </c>
      <c r="I45" s="14" t="s">
        <v>76</v>
      </c>
      <c r="J45" s="14" t="s">
        <v>153</v>
      </c>
      <c r="K45" s="14" t="s">
        <v>156</v>
      </c>
    </row>
    <row r="46" ht="99.75" customHeight="1" spans="2:11">
      <c r="B46" s="14">
        <v>43</v>
      </c>
      <c r="C46" s="14">
        <v>1849000</v>
      </c>
      <c r="D46" s="14" t="s">
        <v>86</v>
      </c>
      <c r="E46" s="14">
        <v>7</v>
      </c>
      <c r="F46" s="15" t="s">
        <v>157</v>
      </c>
      <c r="G46" s="14" t="s">
        <v>152</v>
      </c>
      <c r="H46" s="14">
        <v>40</v>
      </c>
      <c r="I46" s="14" t="s">
        <v>76</v>
      </c>
      <c r="J46" s="14" t="s">
        <v>153</v>
      </c>
      <c r="K46" s="14" t="s">
        <v>158</v>
      </c>
    </row>
    <row r="47" ht="99.75" customHeight="1" spans="2:11">
      <c r="B47" s="14">
        <v>44</v>
      </c>
      <c r="C47" s="14">
        <v>1936000</v>
      </c>
      <c r="D47" s="14" t="s">
        <v>159</v>
      </c>
      <c r="E47" s="14">
        <v>7</v>
      </c>
      <c r="F47" s="15" t="s">
        <v>160</v>
      </c>
      <c r="G47" s="14" t="s">
        <v>152</v>
      </c>
      <c r="H47" s="14">
        <v>40</v>
      </c>
      <c r="I47" s="14" t="s">
        <v>76</v>
      </c>
      <c r="J47" s="14" t="s">
        <v>161</v>
      </c>
      <c r="K47" s="14" t="s">
        <v>162</v>
      </c>
    </row>
    <row r="48" ht="99.75" customHeight="1" spans="2:11">
      <c r="B48" s="14">
        <v>45</v>
      </c>
      <c r="C48" s="14">
        <v>2025000</v>
      </c>
      <c r="D48" s="14" t="s">
        <v>86</v>
      </c>
      <c r="E48" s="14">
        <v>7</v>
      </c>
      <c r="F48" s="15" t="s">
        <v>163</v>
      </c>
      <c r="G48" s="14" t="s">
        <v>152</v>
      </c>
      <c r="H48" s="14">
        <v>40</v>
      </c>
      <c r="I48" s="14" t="s">
        <v>76</v>
      </c>
      <c r="J48" s="14" t="s">
        <v>161</v>
      </c>
      <c r="K48" s="14" t="s">
        <v>164</v>
      </c>
    </row>
    <row r="49" ht="99.75" customHeight="1" spans="2:11">
      <c r="B49" s="14">
        <v>46</v>
      </c>
      <c r="C49" s="14">
        <v>2116000</v>
      </c>
      <c r="D49" s="14" t="s">
        <v>165</v>
      </c>
      <c r="E49" s="14">
        <v>7</v>
      </c>
      <c r="F49" s="15" t="s">
        <v>166</v>
      </c>
      <c r="G49" s="14" t="s">
        <v>167</v>
      </c>
      <c r="H49" s="14">
        <v>44</v>
      </c>
      <c r="I49" s="14" t="s">
        <v>76</v>
      </c>
      <c r="J49" s="14" t="s">
        <v>161</v>
      </c>
      <c r="K49" s="14" t="s">
        <v>168</v>
      </c>
    </row>
    <row r="50" ht="99.75" customHeight="1" spans="2:11">
      <c r="B50" s="14">
        <v>47</v>
      </c>
      <c r="C50" s="14">
        <v>2209000</v>
      </c>
      <c r="D50" s="14" t="s">
        <v>169</v>
      </c>
      <c r="E50" s="14">
        <v>7</v>
      </c>
      <c r="F50" s="15" t="s">
        <v>170</v>
      </c>
      <c r="G50" s="14" t="s">
        <v>167</v>
      </c>
      <c r="H50" s="14">
        <v>44</v>
      </c>
      <c r="I50" s="14" t="s">
        <v>76</v>
      </c>
      <c r="J50" s="14" t="s">
        <v>171</v>
      </c>
      <c r="K50" s="14" t="s">
        <v>172</v>
      </c>
    </row>
    <row r="51" ht="99.75" customHeight="1" spans="2:11">
      <c r="B51" s="14">
        <v>48</v>
      </c>
      <c r="C51" s="14">
        <v>2304000</v>
      </c>
      <c r="D51" s="14" t="s">
        <v>86</v>
      </c>
      <c r="E51" s="14">
        <v>7</v>
      </c>
      <c r="F51" s="15" t="s">
        <v>173</v>
      </c>
      <c r="G51" s="14" t="s">
        <v>167</v>
      </c>
      <c r="H51" s="14">
        <v>44</v>
      </c>
      <c r="I51" s="14" t="s">
        <v>76</v>
      </c>
      <c r="J51" s="14" t="s">
        <v>171</v>
      </c>
      <c r="K51" s="14" t="s">
        <v>174</v>
      </c>
    </row>
    <row r="52" ht="85.5" spans="2:11">
      <c r="B52" s="14">
        <v>49</v>
      </c>
      <c r="C52" s="14">
        <v>2401000</v>
      </c>
      <c r="D52" s="14" t="s">
        <v>86</v>
      </c>
      <c r="E52" s="14">
        <v>7</v>
      </c>
      <c r="F52" s="15" t="s">
        <v>175</v>
      </c>
      <c r="G52" s="14" t="s">
        <v>167</v>
      </c>
      <c r="H52" s="14">
        <v>44</v>
      </c>
      <c r="I52" s="14" t="s">
        <v>76</v>
      </c>
      <c r="J52" s="14" t="s">
        <v>171</v>
      </c>
      <c r="K52" s="14" t="s">
        <v>176</v>
      </c>
    </row>
    <row r="53" ht="85.5" spans="2:11">
      <c r="B53" s="14">
        <v>50</v>
      </c>
      <c r="C53" s="14">
        <v>2500000</v>
      </c>
      <c r="D53" s="14" t="s">
        <v>86</v>
      </c>
      <c r="E53" s="14">
        <v>7</v>
      </c>
      <c r="F53" s="15" t="s">
        <v>177</v>
      </c>
      <c r="G53" s="14" t="s">
        <v>167</v>
      </c>
      <c r="H53" s="14">
        <v>44</v>
      </c>
      <c r="I53" s="14" t="s">
        <v>76</v>
      </c>
      <c r="J53" s="14" t="s">
        <v>171</v>
      </c>
      <c r="K53" s="14" t="s">
        <v>178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52"/>
  <sheetViews>
    <sheetView topLeftCell="AF1" workbookViewId="0">
      <pane ySplit="1" topLeftCell="A17" activePane="bottomLeft" state="frozen"/>
      <selection/>
      <selection pane="bottomLeft" activeCell="AQ23" sqref="AQ23"/>
    </sheetView>
  </sheetViews>
  <sheetFormatPr defaultColWidth="9" defaultRowHeight="14.25"/>
  <cols>
    <col min="2" max="5" width="21.875" customWidth="1"/>
    <col min="6" max="6" width="85.875" customWidth="1"/>
    <col min="7" max="7" width="30.5" customWidth="1"/>
    <col min="8" max="8" width="15.875" customWidth="1"/>
    <col min="9" max="9" width="15" customWidth="1"/>
    <col min="10" max="10" width="12.125" customWidth="1"/>
    <col min="11" max="11" width="15.125" customWidth="1"/>
    <col min="12" max="12" width="15.375" customWidth="1"/>
    <col min="13" max="13" width="15.75" customWidth="1"/>
    <col min="14" max="14" width="15.25" customWidth="1"/>
    <col min="15" max="16" width="22.375" customWidth="1"/>
    <col min="17" max="17" width="19" customWidth="1"/>
    <col min="18" max="18" width="24.875" customWidth="1"/>
    <col min="19" max="19" width="9.625" customWidth="1"/>
    <col min="20" max="20" width="10.875" customWidth="1"/>
    <col min="21" max="21" width="7.75" customWidth="1"/>
    <col min="22" max="22" width="8.25" customWidth="1"/>
    <col min="23" max="23" width="8.75" customWidth="1"/>
    <col min="32" max="32" width="10.75" customWidth="1"/>
    <col min="34" max="34" width="10.25" customWidth="1"/>
    <col min="36" max="36" width="9" customWidth="1"/>
    <col min="41" max="41" width="15.5" customWidth="1"/>
    <col min="42" max="42" width="23.75" customWidth="1"/>
  </cols>
  <sheetData>
    <row r="1" spans="1:42">
      <c r="B1" t="s">
        <v>179</v>
      </c>
      <c r="C1" t="s">
        <v>180</v>
      </c>
      <c r="D1" t="s">
        <v>181</v>
      </c>
      <c r="E1" t="s">
        <v>182</v>
      </c>
      <c r="T1" t="s">
        <v>183</v>
      </c>
      <c r="U1" s="11" t="s">
        <v>182</v>
      </c>
      <c r="V1" s="11" t="s">
        <v>184</v>
      </c>
      <c r="W1" s="11" t="s">
        <v>185</v>
      </c>
      <c r="X1" s="11" t="s">
        <v>186</v>
      </c>
      <c r="Y1" s="11" t="s">
        <v>187</v>
      </c>
      <c r="Z1" s="11" t="s">
        <v>188</v>
      </c>
      <c r="AA1" s="11" t="s">
        <v>189</v>
      </c>
      <c r="AB1" s="11" t="s">
        <v>190</v>
      </c>
      <c r="AC1" s="11" t="s">
        <v>191</v>
      </c>
      <c r="AD1" s="11" t="s">
        <v>192</v>
      </c>
      <c r="AE1" s="11" t="s">
        <v>193</v>
      </c>
      <c r="AF1" s="11" t="s">
        <v>194</v>
      </c>
      <c r="AG1" s="11" t="s">
        <v>195</v>
      </c>
      <c r="AH1" s="11" t="s">
        <v>196</v>
      </c>
      <c r="AI1" s="11" t="s">
        <v>197</v>
      </c>
      <c r="AJ1" s="11" t="s">
        <v>198</v>
      </c>
      <c r="AK1" s="11" t="s">
        <v>180</v>
      </c>
      <c r="AL1" s="11" t="s">
        <v>181</v>
      </c>
      <c r="AM1" s="11" t="s">
        <v>199</v>
      </c>
      <c r="AO1" s="11" t="s">
        <v>200</v>
      </c>
      <c r="AP1" s="11" t="s">
        <v>201</v>
      </c>
    </row>
    <row r="2" spans="1:42">
      <c r="C2">
        <v>50001</v>
      </c>
      <c r="D2">
        <v>60001</v>
      </c>
      <c r="E2">
        <v>10006</v>
      </c>
      <c r="S2" t="s">
        <v>202</v>
      </c>
      <c r="T2">
        <v>10001</v>
      </c>
      <c r="U2" s="11" t="s">
        <v>203</v>
      </c>
      <c r="V2" s="11" t="s">
        <v>204</v>
      </c>
      <c r="W2" s="11" t="s">
        <v>205</v>
      </c>
      <c r="X2" s="11" t="s">
        <v>206</v>
      </c>
      <c r="Y2" s="11" t="s">
        <v>207</v>
      </c>
      <c r="Z2" s="11" t="s">
        <v>208</v>
      </c>
      <c r="AA2" s="11" t="s">
        <v>209</v>
      </c>
      <c r="AB2" s="11" t="s">
        <v>210</v>
      </c>
      <c r="AC2" s="11" t="s">
        <v>211</v>
      </c>
      <c r="AD2" s="11" t="s">
        <v>212</v>
      </c>
      <c r="AE2" s="11" t="s">
        <v>213</v>
      </c>
      <c r="AF2" s="11" t="s">
        <v>214</v>
      </c>
      <c r="AG2" s="11" t="s">
        <v>215</v>
      </c>
      <c r="AH2" s="11" t="s">
        <v>216</v>
      </c>
      <c r="AI2" s="11" t="s">
        <v>217</v>
      </c>
      <c r="AJ2" s="11" t="s">
        <v>218</v>
      </c>
      <c r="AK2">
        <v>50001</v>
      </c>
      <c r="AL2" s="11" t="s">
        <v>219</v>
      </c>
      <c r="AM2">
        <v>70001</v>
      </c>
    </row>
    <row r="3" ht="85.5" customHeight="1" spans="1:42">
      <c r="A3">
        <v>1</v>
      </c>
      <c r="B3" t="str">
        <f t="shared" ref="B3:B52" si="0">$C$2&amp;"|"&amp;C3&amp;"$"&amp;$D$2&amp;"|"&amp;D3&amp;"$"&amp;$E$2&amp;"|"&amp;E3</f>
        <v>50001|1$60001|0$10006|1</v>
      </c>
      <c r="C3">
        <v>1</v>
      </c>
      <c r="D3">
        <v>0</v>
      </c>
      <c r="E3">
        <v>1</v>
      </c>
      <c r="Q3" t="s">
        <v>220</v>
      </c>
      <c r="R3" s="12" t="str">
        <f t="shared" ref="R3:R52" si="1">$T$2&amp;"|"&amp;T3&amp;"$"&amp;$U$2&amp;"|"&amp;U3&amp;"$"&amp;$V$2&amp;"|"&amp;V3&amp;"$"&amp;$W$2&amp;"|"&amp;W3&amp;"$"&amp;$X$2&amp;"|"&amp;X3&amp;"$"&amp;$Y$2&amp;"|"&amp;Y3&amp;"$"&amp;$Z$2&amp;"|"&amp;Z3&amp;"$"&amp;$AA$2&amp;"|"&amp;AA3&amp;"$"&amp;$AB$2&amp;"|"&amp;AB3&amp;"$"&amp;$AC$2&amp;"|"&amp;AC3&amp;"$"&amp;$AD$2&amp;"|"&amp;AD3&amp;"$"&amp;$AE$2&amp;"|"&amp;AE3&amp;"$"&amp;$AF$2&amp;"|"&amp;AF3&amp;"$"&amp;$AG$2&amp;"|"&amp;AG3&amp;"$"&amp;$AH$2&amp;"|"&amp;AH3&amp;"$"&amp;$AI$2&amp;"|"&amp;AI3&amp;"$"&amp;$AJ$2&amp;"|"&amp;AJ3&amp;"$"&amp;$AK$2&amp;"|"&amp;AK3&amp;"$"&amp;$AL$2&amp;"|"&amp;AL3&amp;"$"&amp;$AM$2&amp;"|"&amp;AM3</f>
        <v>10001|1$10006|$20001|$20002|$20003|$20004|$20005|$30001|$30002|$30003|$30004|$30005|$40001|$40002|$40003|$40004|$40005|$50001|$60001|$70001|</v>
      </c>
      <c r="S3" t="s">
        <v>221</v>
      </c>
      <c r="T3">
        <v>1</v>
      </c>
      <c r="AN3" s="13">
        <v>1</v>
      </c>
      <c r="AO3">
        <v>4</v>
      </c>
      <c r="AP3" s="14" t="s">
        <v>15</v>
      </c>
    </row>
    <row r="4" ht="85.5" customHeight="1" spans="1:42">
      <c r="A4">
        <v>2</v>
      </c>
      <c r="B4" t="str">
        <f t="shared" si="0"/>
        <v>50001|1$60001|1$10006|1</v>
      </c>
      <c r="C4">
        <v>1</v>
      </c>
      <c r="D4">
        <v>1</v>
      </c>
      <c r="E4">
        <v>1</v>
      </c>
      <c r="F4" s="12" t="str">
        <f>G4&amp;"|"&amp;H4&amp;"|"&amp;I4&amp;"|"&amp;J4&amp;"|"&amp;K4&amp;"|"&amp;L4&amp;"|"&amp;M4&amp;"|"&amp;N4&amp;"|"&amp;O4&amp;"|"&amp;P4</f>
        <v>|||源力上限+10||灵田上限+1|建筑等级上限+1|弟子数量+3|可以建造凡级采矿场|</v>
      </c>
      <c r="G4" s="12"/>
      <c r="J4" t="s">
        <v>222</v>
      </c>
      <c r="L4" t="s">
        <v>223</v>
      </c>
      <c r="M4" t="s">
        <v>224</v>
      </c>
      <c r="N4" t="s">
        <v>225</v>
      </c>
      <c r="O4" t="s">
        <v>226</v>
      </c>
      <c r="Q4" t="s">
        <v>227</v>
      </c>
      <c r="R4" s="12" t="str">
        <f t="shared" si="1"/>
        <v>10001|2$10006|$20001|1$20002|$20003|$20004|$20005|$30001|$30002|$30003|$30004|$30005|$40001|$40002|$40003|$40004|$40005|$50001|$60001|$70001|</v>
      </c>
      <c r="T4">
        <v>2</v>
      </c>
      <c r="V4">
        <v>1</v>
      </c>
      <c r="AN4" s="13">
        <v>2</v>
      </c>
      <c r="AO4">
        <v>4</v>
      </c>
      <c r="AP4" s="14" t="s">
        <v>20</v>
      </c>
    </row>
    <row r="5" ht="85.5" customHeight="1" spans="1:42">
      <c r="A5">
        <v>3</v>
      </c>
      <c r="B5" t="str">
        <f t="shared" si="0"/>
        <v>50001|1$60001|1$10006|1</v>
      </c>
      <c r="C5">
        <v>1</v>
      </c>
      <c r="D5">
        <v>1</v>
      </c>
      <c r="E5">
        <v>1</v>
      </c>
      <c r="F5" s="12" t="str">
        <f t="shared" ref="F5:F52" si="2">H5&amp;"|"&amp;I5&amp;"|"&amp;J5&amp;"|"&amp;K5&amp;"|"&amp;L5&amp;"|"&amp;M5&amp;"|"&amp;N5&amp;"|"&amp;O5&amp;"|"&amp;P5</f>
        <v>||源力上限+10|可以建造练功房|解锁更多空地|建筑等级上限+1|弟子数量+3|可以建造炼器房|</v>
      </c>
      <c r="G5" s="12"/>
      <c r="J5" t="s">
        <v>222</v>
      </c>
      <c r="K5" t="s">
        <v>228</v>
      </c>
      <c r="L5" t="s">
        <v>229</v>
      </c>
      <c r="M5" t="s">
        <v>224</v>
      </c>
      <c r="N5" t="s">
        <v>225</v>
      </c>
      <c r="O5" t="s">
        <v>230</v>
      </c>
      <c r="Q5" t="s">
        <v>231</v>
      </c>
      <c r="R5" s="12" t="str">
        <f t="shared" si="1"/>
        <v>10001|2$10006|$20001|1$20002|$20003|$20004|$20005|$30001|$30002|$30003|$30004|$30005|$40001|$40002|$40003|$40004|$40005|$50001|1$60001|$70001|1</v>
      </c>
      <c r="S5" s="11"/>
      <c r="T5">
        <v>2</v>
      </c>
      <c r="V5">
        <v>1</v>
      </c>
      <c r="AK5">
        <v>1</v>
      </c>
      <c r="AM5">
        <v>1</v>
      </c>
      <c r="AN5" s="13">
        <v>3</v>
      </c>
      <c r="AO5">
        <f t="shared" ref="AO5:AO52" si="3">SUM(T5:AM5)</f>
        <v>5</v>
      </c>
      <c r="AP5" s="14" t="s">
        <v>25</v>
      </c>
    </row>
    <row r="6" ht="85.5" customHeight="1" spans="1:42">
      <c r="A6">
        <v>4</v>
      </c>
      <c r="B6" t="str">
        <f t="shared" si="0"/>
        <v>50001|1$60001|1$10006|  </v>
      </c>
      <c r="C6">
        <v>1</v>
      </c>
      <c r="D6">
        <v>1</v>
      </c>
      <c r="E6" t="s">
        <v>232</v>
      </c>
      <c r="F6" s="12" t="str">
        <f t="shared" si="2"/>
        <v>可建造二级炼丹房||源力上限+10|解锁更多空地|可以建造灵树|建筑等级上限+1|弟子数量+3|可以建造炼丹炉|</v>
      </c>
      <c r="G6" s="12"/>
      <c r="H6" t="s">
        <v>233</v>
      </c>
      <c r="J6" t="s">
        <v>222</v>
      </c>
      <c r="K6" t="s">
        <v>229</v>
      </c>
      <c r="L6" t="s">
        <v>234</v>
      </c>
      <c r="M6" t="s">
        <v>224</v>
      </c>
      <c r="N6" t="s">
        <v>225</v>
      </c>
      <c r="O6" t="s">
        <v>235</v>
      </c>
      <c r="Q6" t="s">
        <v>236</v>
      </c>
      <c r="R6" s="12" t="str">
        <f t="shared" si="1"/>
        <v>10001|2$10006|1$20001|1$20002|$20003|$20004|$20005|$30001|1$30002|$30003|$30004|$30005|$40001|$40002|$40003|$40004|$40005|$50001|1$60001|$70001|1</v>
      </c>
      <c r="S6" s="11"/>
      <c r="T6">
        <v>2</v>
      </c>
      <c r="U6">
        <v>1</v>
      </c>
      <c r="V6">
        <v>1</v>
      </c>
      <c r="AA6">
        <v>1</v>
      </c>
      <c r="AK6">
        <v>1</v>
      </c>
      <c r="AM6">
        <v>1</v>
      </c>
      <c r="AN6" s="13">
        <v>4</v>
      </c>
      <c r="AO6">
        <f t="shared" si="3"/>
        <v>7</v>
      </c>
      <c r="AP6" s="14" t="s">
        <v>29</v>
      </c>
    </row>
    <row r="7" ht="85.5" customHeight="1" spans="1:42">
      <c r="A7">
        <v>5</v>
      </c>
      <c r="B7" t="str">
        <f t="shared" si="0"/>
        <v>50001|1$60001|1$10006|2</v>
      </c>
      <c r="C7">
        <v>1</v>
      </c>
      <c r="D7">
        <v>1</v>
      </c>
      <c r="E7">
        <v>2</v>
      </c>
      <c r="F7" s="12" t="str">
        <f t="shared" si="2"/>
        <v>|可以建造八卦炉|源力上限+10||解锁更多空地|建筑等级上限+1|弟子数量+3|可以建造藏经阁|</v>
      </c>
      <c r="G7" s="12"/>
      <c r="I7" t="s">
        <v>237</v>
      </c>
      <c r="J7" t="s">
        <v>222</v>
      </c>
      <c r="L7" t="s">
        <v>229</v>
      </c>
      <c r="M7" t="s">
        <v>224</v>
      </c>
      <c r="N7" t="s">
        <v>225</v>
      </c>
      <c r="O7" t="s">
        <v>238</v>
      </c>
      <c r="Q7" t="s">
        <v>239</v>
      </c>
      <c r="R7" s="12" t="str">
        <f t="shared" si="1"/>
        <v>10001|2$10006|1$20001|1$20002|$20003|$20004|$20005|$30001|1$30002|$30003|$30004|$30005|$40001|1$40002|$40003|$40004|$40005|$50001|1$60001|1$70001|1</v>
      </c>
      <c r="S7" s="11"/>
      <c r="T7">
        <v>2</v>
      </c>
      <c r="U7">
        <v>1</v>
      </c>
      <c r="V7">
        <v>1</v>
      </c>
      <c r="AA7">
        <v>1</v>
      </c>
      <c r="AF7">
        <v>1</v>
      </c>
      <c r="AK7">
        <v>1</v>
      </c>
      <c r="AL7">
        <v>1</v>
      </c>
      <c r="AM7">
        <v>1</v>
      </c>
      <c r="AN7" s="13">
        <v>5</v>
      </c>
      <c r="AO7">
        <f t="shared" si="3"/>
        <v>9</v>
      </c>
      <c r="AP7" s="14" t="s">
        <v>34</v>
      </c>
    </row>
    <row r="8" ht="85.5" customHeight="1" spans="1:42">
      <c r="A8">
        <v>6</v>
      </c>
      <c r="B8" t="str">
        <f t="shared" si="0"/>
        <v>50001|1$60001|1$10006|2</v>
      </c>
      <c r="C8">
        <v>1</v>
      </c>
      <c r="D8">
        <v>1</v>
      </c>
      <c r="E8">
        <v>2</v>
      </c>
      <c r="F8" s="12" t="str">
        <f t="shared" si="2"/>
        <v>||源力上限+10||凡级采矿场上限+1|建筑等级上限+1|弟子数量+3||</v>
      </c>
      <c r="G8" s="12"/>
      <c r="J8" t="s">
        <v>222</v>
      </c>
      <c r="L8" t="s">
        <v>240</v>
      </c>
      <c r="M8" t="s">
        <v>224</v>
      </c>
      <c r="N8" t="s">
        <v>225</v>
      </c>
      <c r="Q8" t="s">
        <v>241</v>
      </c>
      <c r="R8" s="12" t="str">
        <f t="shared" si="1"/>
        <v>10001|2$10006|1$20001|2$20002|$20003|$20004|$20005|$30001|1$30002|$30003|$30004|$30005|$40001|1$40002|$40003|$40004|$40005|$50001|1$60001|1$70001|1</v>
      </c>
      <c r="S8" s="11"/>
      <c r="T8">
        <v>2</v>
      </c>
      <c r="U8">
        <v>1</v>
      </c>
      <c r="V8">
        <v>2</v>
      </c>
      <c r="AA8">
        <v>1</v>
      </c>
      <c r="AF8">
        <v>1</v>
      </c>
      <c r="AK8">
        <v>1</v>
      </c>
      <c r="AL8">
        <v>1</v>
      </c>
      <c r="AM8">
        <v>1</v>
      </c>
      <c r="AN8" s="13">
        <v>6</v>
      </c>
      <c r="AO8">
        <f t="shared" si="3"/>
        <v>10</v>
      </c>
      <c r="AP8" s="14" t="s">
        <v>39</v>
      </c>
    </row>
    <row r="9" ht="85.5" customHeight="1" spans="1:42">
      <c r="A9">
        <v>7</v>
      </c>
      <c r="B9" t="str">
        <f t="shared" si="0"/>
        <v>50001|1$60001|1$10006|3</v>
      </c>
      <c r="C9">
        <v>1</v>
      </c>
      <c r="D9">
        <v>1</v>
      </c>
      <c r="E9">
        <v>3</v>
      </c>
      <c r="F9" s="12" t="str">
        <f t="shared" si="2"/>
        <v>可建造三级炼丹房||源力上限+10|解锁更多空地|凡级灵树上限+1|建筑等级上限+1|弟子数量+3||</v>
      </c>
      <c r="G9" s="12"/>
      <c r="H9" t="s">
        <v>242</v>
      </c>
      <c r="J9" t="s">
        <v>222</v>
      </c>
      <c r="K9" t="s">
        <v>229</v>
      </c>
      <c r="L9" t="s">
        <v>243</v>
      </c>
      <c r="M9" t="s">
        <v>224</v>
      </c>
      <c r="N9" t="s">
        <v>225</v>
      </c>
      <c r="Q9" t="s">
        <v>244</v>
      </c>
      <c r="R9" s="12" t="str">
        <f t="shared" si="1"/>
        <v>10001|2$10006|1$20001|2$20002|$20003|$20004|$20005|$30001|2$30002|$30003|$30004|$30005|$40001|1$40002|$40003|$40004|$40005|$50001|1$60001|1$70001|1</v>
      </c>
      <c r="S9" s="11"/>
      <c r="T9">
        <v>2</v>
      </c>
      <c r="U9">
        <v>1</v>
      </c>
      <c r="V9">
        <v>2</v>
      </c>
      <c r="AA9">
        <v>2</v>
      </c>
      <c r="AF9">
        <v>1</v>
      </c>
      <c r="AK9">
        <v>1</v>
      </c>
      <c r="AL9">
        <v>1</v>
      </c>
      <c r="AM9">
        <v>1</v>
      </c>
      <c r="AN9" s="13">
        <v>7</v>
      </c>
      <c r="AO9">
        <f t="shared" si="3"/>
        <v>11</v>
      </c>
      <c r="AP9" s="14" t="s">
        <v>44</v>
      </c>
    </row>
    <row r="10" ht="85.5" customHeight="1" spans="1:42">
      <c r="A10">
        <v>8</v>
      </c>
      <c r="B10" t="str">
        <f t="shared" si="0"/>
        <v>50001|1$60001|1$10006|3</v>
      </c>
      <c r="C10">
        <v>1</v>
      </c>
      <c r="D10">
        <v>1</v>
      </c>
      <c r="E10">
        <v>3</v>
      </c>
      <c r="F10" s="12" t="str">
        <f t="shared" si="2"/>
        <v>||源力上限+10|||建筑等级上限+1|弟子数量+3||</v>
      </c>
      <c r="G10" s="12"/>
      <c r="J10" t="s">
        <v>222</v>
      </c>
      <c r="M10" t="s">
        <v>224</v>
      </c>
      <c r="N10" t="s">
        <v>225</v>
      </c>
      <c r="Q10" t="s">
        <v>245</v>
      </c>
      <c r="R10" s="12" t="str">
        <f t="shared" si="1"/>
        <v>10001|2$10006|1$20001|2$20002|$20003|$20004|$20005|$30001|2$30002|$30003|$30004|$30005|$40001|1$40002|$40003|$40004|$40005|$50001|1$60001|1$70001|1</v>
      </c>
      <c r="S10" s="11"/>
      <c r="T10">
        <v>2</v>
      </c>
      <c r="U10">
        <v>1</v>
      </c>
      <c r="V10">
        <v>2</v>
      </c>
      <c r="AA10">
        <v>2</v>
      </c>
      <c r="AF10">
        <v>1</v>
      </c>
      <c r="AK10">
        <v>1</v>
      </c>
      <c r="AL10">
        <v>1</v>
      </c>
      <c r="AM10">
        <v>1</v>
      </c>
      <c r="AN10" s="13">
        <v>8</v>
      </c>
      <c r="AO10">
        <f t="shared" si="3"/>
        <v>11</v>
      </c>
      <c r="AP10" s="14" t="s">
        <v>49</v>
      </c>
    </row>
    <row r="11" ht="85.5" customHeight="1" spans="1:42">
      <c r="A11">
        <v>9</v>
      </c>
      <c r="B11" t="str">
        <f t="shared" si="0"/>
        <v>50001|1$60001|1$10006|3</v>
      </c>
      <c r="C11">
        <v>1</v>
      </c>
      <c r="D11">
        <v>1</v>
      </c>
      <c r="E11">
        <v>3</v>
      </c>
      <c r="F11" s="12" t="str">
        <f t="shared" si="2"/>
        <v>||源力上限+10|||建筑等级上限+1|弟子数量+3||</v>
      </c>
      <c r="G11" s="12"/>
      <c r="J11" t="s">
        <v>222</v>
      </c>
      <c r="M11" t="s">
        <v>224</v>
      </c>
      <c r="N11" t="s">
        <v>225</v>
      </c>
      <c r="Q11" t="s">
        <v>246</v>
      </c>
      <c r="R11" s="12" t="str">
        <f t="shared" si="1"/>
        <v>10001|2$10006|1$20001|2$20002|$20003|$20004|$20005|$30001|2$30002|$30003|$30004|$30005|$40001|1$40002|$40003|$40004|$40005|$50001|1$60001|1$70001|1</v>
      </c>
      <c r="S11" s="11"/>
      <c r="T11">
        <v>2</v>
      </c>
      <c r="U11">
        <v>1</v>
      </c>
      <c r="V11">
        <v>2</v>
      </c>
      <c r="AA11">
        <v>2</v>
      </c>
      <c r="AF11">
        <v>1</v>
      </c>
      <c r="AK11">
        <v>1</v>
      </c>
      <c r="AL11">
        <v>1</v>
      </c>
      <c r="AM11">
        <v>1</v>
      </c>
      <c r="AN11" s="13">
        <v>9</v>
      </c>
      <c r="AO11">
        <f t="shared" si="3"/>
        <v>11</v>
      </c>
      <c r="AP11" s="14" t="s">
        <v>52</v>
      </c>
    </row>
    <row r="12" ht="85.5" customHeight="1" spans="1:42">
      <c r="A12">
        <v>10</v>
      </c>
      <c r="B12" t="str">
        <f t="shared" si="0"/>
        <v>50001|1$60001|1$10006|3</v>
      </c>
      <c r="C12">
        <v>1</v>
      </c>
      <c r="D12">
        <v>1</v>
      </c>
      <c r="E12">
        <v>3</v>
      </c>
      <c r="F12" s="12" t="str">
        <f t="shared" si="2"/>
        <v>||源力上限+10|||建筑等级上限+1|弟子数量+3||</v>
      </c>
      <c r="G12" s="12"/>
      <c r="J12" t="s">
        <v>222</v>
      </c>
      <c r="M12" t="s">
        <v>224</v>
      </c>
      <c r="N12" t="s">
        <v>225</v>
      </c>
      <c r="Q12" t="s">
        <v>247</v>
      </c>
      <c r="R12" s="12" t="str">
        <f t="shared" si="1"/>
        <v>10001|2$10006|1$20001|2$20002|$20003|$20004|$20005|$30001|2$30002|$30003|$30004|$30005|$40001|1$40002|$40003|$40004|$40005|$50001|1$60001|1$70001|1</v>
      </c>
      <c r="S12" s="11"/>
      <c r="T12">
        <v>2</v>
      </c>
      <c r="U12">
        <v>1</v>
      </c>
      <c r="V12">
        <v>2</v>
      </c>
      <c r="AA12">
        <v>2</v>
      </c>
      <c r="AF12">
        <v>1</v>
      </c>
      <c r="AK12">
        <v>1</v>
      </c>
      <c r="AL12">
        <v>1</v>
      </c>
      <c r="AM12">
        <v>1</v>
      </c>
      <c r="AN12" s="13">
        <v>10</v>
      </c>
      <c r="AO12">
        <f t="shared" si="3"/>
        <v>11</v>
      </c>
      <c r="AP12" s="14" t="s">
        <v>18</v>
      </c>
    </row>
    <row r="13" ht="85.5" customHeight="1" spans="1:42">
      <c r="A13">
        <v>11</v>
      </c>
      <c r="B13" t="str">
        <f t="shared" si="0"/>
        <v>50001|2$60001|2$10006|4</v>
      </c>
      <c r="C13">
        <v>2</v>
      </c>
      <c r="D13">
        <v>2</v>
      </c>
      <c r="E13">
        <v>4</v>
      </c>
      <c r="F13" s="12" t="str">
        <f t="shared" si="2"/>
        <v>可建造四级炼丹房|可建造二级炼器房|源力上限+10|可以建造黄级矿场|解锁更多空地|建筑等级上限+1|弟子数量+3|可以建造黄级灵树|可以建造黄级藏经阁</v>
      </c>
      <c r="G13" s="12" t="s">
        <v>248</v>
      </c>
      <c r="H13" t="s">
        <v>249</v>
      </c>
      <c r="I13" t="s">
        <v>250</v>
      </c>
      <c r="J13" t="s">
        <v>222</v>
      </c>
      <c r="K13" t="s">
        <v>251</v>
      </c>
      <c r="L13" t="s">
        <v>229</v>
      </c>
      <c r="M13" t="s">
        <v>224</v>
      </c>
      <c r="N13" t="s">
        <v>225</v>
      </c>
      <c r="O13" t="s">
        <v>252</v>
      </c>
      <c r="P13" t="s">
        <v>253</v>
      </c>
      <c r="Q13" t="s">
        <v>254</v>
      </c>
      <c r="R13" s="12" t="str">
        <f t="shared" si="1"/>
        <v>10001|2$10006|1$20001|2$20002|1$20003|$20004|$20005|$30001|2$30002|1$30003|$30004|$30005|$40001|1$40002|1$40003|$40004|$40005|$50001|1$60001|1$70001|1</v>
      </c>
      <c r="S13" s="11"/>
      <c r="T13">
        <v>2</v>
      </c>
      <c r="U13">
        <v>1</v>
      </c>
      <c r="V13">
        <v>2</v>
      </c>
      <c r="W13">
        <v>1</v>
      </c>
      <c r="AA13">
        <v>2</v>
      </c>
      <c r="AB13">
        <v>1</v>
      </c>
      <c r="AF13">
        <v>1</v>
      </c>
      <c r="AG13">
        <v>1</v>
      </c>
      <c r="AK13">
        <v>1</v>
      </c>
      <c r="AL13">
        <v>1</v>
      </c>
      <c r="AM13">
        <v>1</v>
      </c>
      <c r="AN13" s="13">
        <v>11</v>
      </c>
      <c r="AO13">
        <f t="shared" si="3"/>
        <v>14</v>
      </c>
      <c r="AP13" s="14" t="s">
        <v>59</v>
      </c>
    </row>
    <row r="14" ht="85.5" customHeight="1" spans="1:42">
      <c r="A14">
        <v>12</v>
      </c>
      <c r="B14" t="str">
        <f t="shared" si="0"/>
        <v>50001|2$60001|2$10006|4</v>
      </c>
      <c r="C14">
        <v>2</v>
      </c>
      <c r="D14">
        <v>2</v>
      </c>
      <c r="E14">
        <v>4</v>
      </c>
      <c r="F14" s="12" t="str">
        <f t="shared" si="2"/>
        <v>||源力上限+10||灵田上限+1|建筑等级上限+1|弟子数量+3||</v>
      </c>
      <c r="J14" t="s">
        <v>222</v>
      </c>
      <c r="L14" t="s">
        <v>223</v>
      </c>
      <c r="M14" t="s">
        <v>224</v>
      </c>
      <c r="N14" t="s">
        <v>225</v>
      </c>
      <c r="R14" s="12" t="str">
        <f t="shared" si="1"/>
        <v>10001|3$10006|1$20001|2$20002|1$20003|$20004|$20005|$30001|2$30002|1$30003|$30004|$30005|$40001|1$40002|1$40003|$40004|$40005|$50001|1$60001|1$70001|1</v>
      </c>
      <c r="S14" s="11"/>
      <c r="T14">
        <v>3</v>
      </c>
      <c r="U14">
        <v>1</v>
      </c>
      <c r="V14">
        <v>2</v>
      </c>
      <c r="W14">
        <v>1</v>
      </c>
      <c r="AA14">
        <v>2</v>
      </c>
      <c r="AB14">
        <v>1</v>
      </c>
      <c r="AF14">
        <v>1</v>
      </c>
      <c r="AG14">
        <v>1</v>
      </c>
      <c r="AK14">
        <v>1</v>
      </c>
      <c r="AL14">
        <v>1</v>
      </c>
      <c r="AM14">
        <v>1</v>
      </c>
      <c r="AN14" s="13">
        <v>12</v>
      </c>
      <c r="AO14">
        <f t="shared" si="3"/>
        <v>15</v>
      </c>
      <c r="AP14" s="14" t="s">
        <v>65</v>
      </c>
    </row>
    <row r="15" ht="85.5" customHeight="1" spans="1:42">
      <c r="A15">
        <v>13</v>
      </c>
      <c r="B15" t="str">
        <f t="shared" si="0"/>
        <v>50001|2$60001|2$10006|4</v>
      </c>
      <c r="C15">
        <v>2</v>
      </c>
      <c r="D15">
        <v>2</v>
      </c>
      <c r="E15">
        <v>4</v>
      </c>
      <c r="F15" s="12" t="str">
        <f t="shared" si="2"/>
        <v>||源力上限+10|||建筑等级上限+1|弟子数量+3||</v>
      </c>
      <c r="J15" t="s">
        <v>222</v>
      </c>
      <c r="M15" t="s">
        <v>224</v>
      </c>
      <c r="N15" t="s">
        <v>225</v>
      </c>
      <c r="R15" s="12" t="str">
        <f t="shared" si="1"/>
        <v>10001|3$10006|1$20001|2$20002|1$20003|$20004|$20005|$30001|2$30002|1$30003|$30004|$30005|$40001|1$40002|1$40003|$40004|$40005|$50001|1$60001|1$70001|1</v>
      </c>
      <c r="S15" s="11"/>
      <c r="T15">
        <v>3</v>
      </c>
      <c r="U15">
        <v>1</v>
      </c>
      <c r="V15">
        <v>2</v>
      </c>
      <c r="W15">
        <v>1</v>
      </c>
      <c r="AA15">
        <v>2</v>
      </c>
      <c r="AB15">
        <v>1</v>
      </c>
      <c r="AF15">
        <v>1</v>
      </c>
      <c r="AG15">
        <v>1</v>
      </c>
      <c r="AK15">
        <v>1</v>
      </c>
      <c r="AL15">
        <v>1</v>
      </c>
      <c r="AM15">
        <v>1</v>
      </c>
      <c r="AN15" s="13">
        <v>13</v>
      </c>
      <c r="AO15">
        <f t="shared" si="3"/>
        <v>15</v>
      </c>
      <c r="AP15" s="14" t="s">
        <v>68</v>
      </c>
    </row>
    <row r="16" ht="85.5" customHeight="1" spans="1:42">
      <c r="A16">
        <v>14</v>
      </c>
      <c r="B16" t="str">
        <f t="shared" si="0"/>
        <v>50001|2$60001|2$10006|5</v>
      </c>
      <c r="C16">
        <v>2</v>
      </c>
      <c r="D16">
        <v>2</v>
      </c>
      <c r="E16">
        <v>5</v>
      </c>
      <c r="F16" s="12" t="str">
        <f t="shared" si="2"/>
        <v>可建造五级炼丹房||源力上限+10|||建筑等级上限+1|弟子数量+3||</v>
      </c>
      <c r="H16" t="s">
        <v>255</v>
      </c>
      <c r="J16" t="s">
        <v>222</v>
      </c>
      <c r="M16" t="s">
        <v>224</v>
      </c>
      <c r="N16" t="s">
        <v>225</v>
      </c>
      <c r="R16" s="12" t="str">
        <f t="shared" si="1"/>
        <v>10001|3$10006|1$20001|2$20002|1$20003|$20004|$20005|$30001|2$30002|1$30003|$30004|$30005|$40001|1$40002|1$40003|$40004|$40005|$50001|1$60001|1$70001|1</v>
      </c>
      <c r="S16" s="11"/>
      <c r="T16">
        <v>3</v>
      </c>
      <c r="U16">
        <v>1</v>
      </c>
      <c r="V16">
        <v>2</v>
      </c>
      <c r="W16">
        <v>1</v>
      </c>
      <c r="AA16">
        <v>2</v>
      </c>
      <c r="AB16">
        <v>1</v>
      </c>
      <c r="AF16">
        <v>1</v>
      </c>
      <c r="AG16">
        <v>1</v>
      </c>
      <c r="AK16">
        <v>1</v>
      </c>
      <c r="AL16">
        <v>1</v>
      </c>
      <c r="AM16">
        <v>1</v>
      </c>
      <c r="AN16" s="13">
        <v>14</v>
      </c>
      <c r="AO16">
        <f t="shared" si="3"/>
        <v>15</v>
      </c>
      <c r="AP16" s="14" t="s">
        <v>72</v>
      </c>
    </row>
    <row r="17" ht="85.5" customHeight="1" spans="1:44">
      <c r="A17">
        <v>15</v>
      </c>
      <c r="B17" t="str">
        <f t="shared" si="0"/>
        <v>50001|2$60001|2$10006|5</v>
      </c>
      <c r="C17">
        <v>2</v>
      </c>
      <c r="D17">
        <v>2</v>
      </c>
      <c r="E17">
        <v>5</v>
      </c>
      <c r="F17" s="12" t="str">
        <f t="shared" si="2"/>
        <v>||源力上限+10|||建筑等级上限+1|弟子数量+3||</v>
      </c>
      <c r="J17" t="s">
        <v>222</v>
      </c>
      <c r="M17" t="s">
        <v>224</v>
      </c>
      <c r="N17" t="s">
        <v>225</v>
      </c>
      <c r="R17" s="12" t="str">
        <f t="shared" si="1"/>
        <v>10001|3$10006|1$20001|2$20002|1$20003|$20004|$20005|$30001|2$30002|1$30003|$30004|$30005|$40001|1$40002|1$40003|$40004|$40005|$50001|1$60001|1$70001|1</v>
      </c>
      <c r="S17" s="11"/>
      <c r="T17">
        <v>3</v>
      </c>
      <c r="U17">
        <v>1</v>
      </c>
      <c r="V17">
        <v>2</v>
      </c>
      <c r="W17">
        <v>1</v>
      </c>
      <c r="AA17">
        <v>2</v>
      </c>
      <c r="AB17">
        <v>1</v>
      </c>
      <c r="AF17">
        <v>1</v>
      </c>
      <c r="AG17">
        <v>1</v>
      </c>
      <c r="AK17">
        <v>1</v>
      </c>
      <c r="AL17">
        <v>1</v>
      </c>
      <c r="AM17">
        <v>1</v>
      </c>
      <c r="AN17" s="13">
        <v>15</v>
      </c>
      <c r="AO17">
        <f t="shared" si="3"/>
        <v>15</v>
      </c>
      <c r="AP17" s="14" t="s">
        <v>76</v>
      </c>
      <c r="AR17" t="s">
        <v>256</v>
      </c>
    </row>
    <row r="18" ht="85.5" customHeight="1" spans="1:44">
      <c r="A18">
        <v>16</v>
      </c>
      <c r="B18" t="str">
        <f t="shared" si="0"/>
        <v>50001|2$60001|2$10006|5</v>
      </c>
      <c r="C18">
        <v>2</v>
      </c>
      <c r="D18">
        <v>2</v>
      </c>
      <c r="E18">
        <v>5</v>
      </c>
      <c r="F18" s="12" t="str">
        <f t="shared" si="2"/>
        <v>|解锁更多空地||黄级矿场上限+1|灵田上限+1|建筑等级上限+1|弟子数量+3|黄级灵树上限+1|黄级藏经阁上限+1</v>
      </c>
      <c r="I18" t="s">
        <v>229</v>
      </c>
      <c r="K18" t="s">
        <v>257</v>
      </c>
      <c r="L18" t="s">
        <v>223</v>
      </c>
      <c r="M18" t="s">
        <v>224</v>
      </c>
      <c r="N18" t="s">
        <v>225</v>
      </c>
      <c r="O18" t="s">
        <v>258</v>
      </c>
      <c r="P18" t="s">
        <v>259</v>
      </c>
      <c r="R18" s="12" t="str">
        <f t="shared" si="1"/>
        <v>10001|4$10006|1$20001|2$20002|2$20003|$20004|$20005|$30001|2$30002|2$30003|$30004|$30005|$40001|2$40002|2$40003|$40004|$40005|$50001|1$60001|1$70001|1</v>
      </c>
      <c r="S18" s="11"/>
      <c r="T18">
        <v>4</v>
      </c>
      <c r="U18">
        <v>1</v>
      </c>
      <c r="V18">
        <v>2</v>
      </c>
      <c r="W18">
        <v>2</v>
      </c>
      <c r="AA18">
        <v>2</v>
      </c>
      <c r="AB18">
        <v>2</v>
      </c>
      <c r="AF18">
        <v>2</v>
      </c>
      <c r="AG18">
        <v>2</v>
      </c>
      <c r="AK18">
        <v>1</v>
      </c>
      <c r="AL18">
        <v>1</v>
      </c>
      <c r="AM18">
        <v>1</v>
      </c>
      <c r="AN18" s="13">
        <v>16</v>
      </c>
      <c r="AO18">
        <f t="shared" si="3"/>
        <v>20</v>
      </c>
      <c r="AP18" s="14"/>
    </row>
    <row r="19" ht="85.5" customHeight="1" spans="1:44">
      <c r="A19">
        <v>17</v>
      </c>
      <c r="B19" t="str">
        <f t="shared" si="0"/>
        <v>50001|2$60001|2$10006|6</v>
      </c>
      <c r="C19">
        <v>2</v>
      </c>
      <c r="D19">
        <v>2</v>
      </c>
      <c r="E19">
        <v>6</v>
      </c>
      <c r="F19" s="12" t="str">
        <f t="shared" si="2"/>
        <v>可建造六级炼丹房|||||建筑等级上限+1|弟子数量+3||</v>
      </c>
      <c r="H19" t="s">
        <v>260</v>
      </c>
      <c r="M19" t="s">
        <v>224</v>
      </c>
      <c r="N19" t="s">
        <v>225</v>
      </c>
      <c r="R19" s="12" t="str">
        <f t="shared" si="1"/>
        <v>10001|4$10006|1$20001|2$20002|2$20003|$20004|$20005|$30001|2$30002|2$30003|$30004|$30005|$40001|2$40002|2$40003|$40004|$40005|$50001|1$60001|1$70001|1</v>
      </c>
      <c r="S19" s="11"/>
      <c r="T19">
        <v>4</v>
      </c>
      <c r="U19">
        <v>1</v>
      </c>
      <c r="V19">
        <v>2</v>
      </c>
      <c r="W19">
        <v>2</v>
      </c>
      <c r="AA19">
        <v>2</v>
      </c>
      <c r="AB19">
        <v>2</v>
      </c>
      <c r="AF19">
        <v>2</v>
      </c>
      <c r="AG19">
        <v>2</v>
      </c>
      <c r="AK19">
        <v>1</v>
      </c>
      <c r="AL19">
        <v>1</v>
      </c>
      <c r="AM19">
        <v>1</v>
      </c>
      <c r="AN19" s="13">
        <v>17</v>
      </c>
      <c r="AO19">
        <f t="shared" si="3"/>
        <v>20</v>
      </c>
      <c r="AP19" s="14"/>
    </row>
    <row r="20" ht="85.5" customHeight="1" spans="1:44">
      <c r="A20">
        <v>18</v>
      </c>
      <c r="B20" t="str">
        <f t="shared" si="0"/>
        <v>50001|2$60001|2$10006|6</v>
      </c>
      <c r="C20">
        <v>2</v>
      </c>
      <c r="D20">
        <v>2</v>
      </c>
      <c r="E20">
        <v>6</v>
      </c>
      <c r="F20" s="12" t="str">
        <f t="shared" si="2"/>
        <v>|||||建筑等级上限+1|弟子数量+3||</v>
      </c>
      <c r="M20" t="s">
        <v>224</v>
      </c>
      <c r="N20" t="s">
        <v>225</v>
      </c>
      <c r="R20" s="12" t="str">
        <f t="shared" si="1"/>
        <v>10001|4$10006|1$20001|2$20002|2$20003|$20004|$20005|$30001|2$30002|2$30003|$30004|$30005|$40001|2$40002|2$40003|$40004|$40005|$50001|1$60001|1$70001|1</v>
      </c>
      <c r="S20" s="11"/>
      <c r="T20">
        <v>4</v>
      </c>
      <c r="U20">
        <v>1</v>
      </c>
      <c r="V20">
        <v>2</v>
      </c>
      <c r="W20">
        <v>2</v>
      </c>
      <c r="AA20">
        <v>2</v>
      </c>
      <c r="AB20">
        <v>2</v>
      </c>
      <c r="AF20">
        <v>2</v>
      </c>
      <c r="AG20">
        <v>2</v>
      </c>
      <c r="AK20">
        <v>1</v>
      </c>
      <c r="AL20">
        <v>1</v>
      </c>
      <c r="AM20">
        <v>1</v>
      </c>
      <c r="AN20" s="13">
        <v>18</v>
      </c>
      <c r="AO20">
        <f t="shared" si="3"/>
        <v>20</v>
      </c>
      <c r="AP20" s="14"/>
    </row>
    <row r="21" ht="85.5" customHeight="1" spans="1:44">
      <c r="A21">
        <v>19</v>
      </c>
      <c r="B21" t="str">
        <f t="shared" si="0"/>
        <v>50001|2$60001|2$10006|6</v>
      </c>
      <c r="C21">
        <v>2</v>
      </c>
      <c r="D21">
        <v>2</v>
      </c>
      <c r="E21">
        <v>6</v>
      </c>
      <c r="F21" s="12" t="str">
        <f t="shared" si="2"/>
        <v>|||||建筑等级上限+1|弟子数量+3||</v>
      </c>
      <c r="M21" t="s">
        <v>224</v>
      </c>
      <c r="N21" t="s">
        <v>225</v>
      </c>
      <c r="R21" s="12" t="str">
        <f t="shared" si="1"/>
        <v>10001|4$10006|1$20001|2$20002|2$20003|$20004|$20005|$30001|2$30002|2$30003|$30004|$30005|$40001|2$40002|2$40003|$40004|$40005|$50001|1$60001|1$70001|1</v>
      </c>
      <c r="T21">
        <v>4</v>
      </c>
      <c r="U21">
        <v>1</v>
      </c>
      <c r="V21">
        <v>2</v>
      </c>
      <c r="W21">
        <v>2</v>
      </c>
      <c r="AA21">
        <v>2</v>
      </c>
      <c r="AB21">
        <v>2</v>
      </c>
      <c r="AF21">
        <v>2</v>
      </c>
      <c r="AG21">
        <v>2</v>
      </c>
      <c r="AK21">
        <v>1</v>
      </c>
      <c r="AL21">
        <v>1</v>
      </c>
      <c r="AM21">
        <v>1</v>
      </c>
      <c r="AN21" s="13">
        <v>19</v>
      </c>
      <c r="AO21">
        <f t="shared" si="3"/>
        <v>20</v>
      </c>
      <c r="AP21" s="14"/>
    </row>
    <row r="22" ht="85.5" customHeight="1" spans="1:44">
      <c r="A22">
        <v>20</v>
      </c>
      <c r="B22" t="str">
        <f t="shared" si="0"/>
        <v>50001|2$60001|2$10006|6</v>
      </c>
      <c r="C22">
        <v>2</v>
      </c>
      <c r="D22">
        <v>2</v>
      </c>
      <c r="E22">
        <v>6</v>
      </c>
      <c r="F22" s="12" t="str">
        <f t="shared" si="2"/>
        <v>|||||建筑等级上限+1|弟子数量+3||</v>
      </c>
      <c r="M22" t="s">
        <v>224</v>
      </c>
      <c r="N22" t="s">
        <v>225</v>
      </c>
      <c r="R22" s="12" t="str">
        <f t="shared" si="1"/>
        <v>10001|4$10006|1$20001|2$20002|2$20003|$20004|$20005|$30001|2$30002|2$30003|$30004|$30005|$40001|2$40002|2$40003|$40004|$40005|$50001|1$60001|1$70001|1</v>
      </c>
      <c r="T22">
        <v>4</v>
      </c>
      <c r="U22">
        <v>1</v>
      </c>
      <c r="V22">
        <v>2</v>
      </c>
      <c r="W22">
        <v>2</v>
      </c>
      <c r="AA22">
        <v>2</v>
      </c>
      <c r="AB22">
        <v>2</v>
      </c>
      <c r="AF22">
        <v>2</v>
      </c>
      <c r="AG22">
        <v>2</v>
      </c>
      <c r="AK22">
        <v>1</v>
      </c>
      <c r="AL22">
        <v>1</v>
      </c>
      <c r="AM22">
        <v>1</v>
      </c>
      <c r="AN22" s="13">
        <v>20</v>
      </c>
      <c r="AO22">
        <f t="shared" si="3"/>
        <v>20</v>
      </c>
      <c r="AP22" s="14"/>
    </row>
    <row r="23" ht="85.5" customHeight="1" spans="1:44">
      <c r="A23">
        <v>21</v>
      </c>
      <c r="B23" t="str">
        <f t="shared" si="0"/>
        <v>50001|3$60001|3$10006|7</v>
      </c>
      <c r="C23">
        <v>3</v>
      </c>
      <c r="D23">
        <v>3</v>
      </c>
      <c r="E23">
        <v>7</v>
      </c>
      <c r="F23" s="12" t="str">
        <f t="shared" si="2"/>
        <v>可建造七级炼丹房|解锁更多空地|可建造三级炼器房|可以建造玄级矿场|灵田上限+1|建筑等级上限+1|弟子数量+3|可以建造玄级灵树|可以建造玄级藏经阁</v>
      </c>
      <c r="G23" t="s">
        <v>261</v>
      </c>
      <c r="H23" t="s">
        <v>262</v>
      </c>
      <c r="I23" t="s">
        <v>229</v>
      </c>
      <c r="J23" t="s">
        <v>263</v>
      </c>
      <c r="K23" t="s">
        <v>264</v>
      </c>
      <c r="L23" t="s">
        <v>223</v>
      </c>
      <c r="M23" t="s">
        <v>224</v>
      </c>
      <c r="N23" t="s">
        <v>225</v>
      </c>
      <c r="O23" t="s">
        <v>265</v>
      </c>
      <c r="P23" t="s">
        <v>266</v>
      </c>
      <c r="R23" s="12" t="str">
        <f t="shared" si="1"/>
        <v>10001|5$10006|1$20001|2$20002|2$20003|1$20004|$20005|$30001|2$30002|2$30003|1$30004|$30005|$40001|2$40002|2$40003|1$40004|$40005|$50001|1$60001|1$70001|1</v>
      </c>
      <c r="T23">
        <v>5</v>
      </c>
      <c r="U23">
        <v>1</v>
      </c>
      <c r="V23">
        <v>2</v>
      </c>
      <c r="W23">
        <v>2</v>
      </c>
      <c r="X23">
        <v>1</v>
      </c>
      <c r="AA23">
        <v>2</v>
      </c>
      <c r="AB23">
        <v>2</v>
      </c>
      <c r="AC23">
        <v>1</v>
      </c>
      <c r="AF23">
        <v>2</v>
      </c>
      <c r="AG23">
        <v>2</v>
      </c>
      <c r="AH23">
        <v>1</v>
      </c>
      <c r="AK23">
        <v>1</v>
      </c>
      <c r="AL23">
        <v>1</v>
      </c>
      <c r="AM23">
        <v>1</v>
      </c>
      <c r="AN23" s="13">
        <v>21</v>
      </c>
      <c r="AO23">
        <f t="shared" si="3"/>
        <v>24</v>
      </c>
      <c r="AP23" s="14"/>
      <c r="AQ23" t="s">
        <v>267</v>
      </c>
    </row>
    <row r="24" ht="85.5" customHeight="1" spans="1:44">
      <c r="A24">
        <v>22</v>
      </c>
      <c r="B24" t="str">
        <f t="shared" si="0"/>
        <v>50001|3$60001|3$10006|7</v>
      </c>
      <c r="C24">
        <v>3</v>
      </c>
      <c r="D24">
        <v>3</v>
      </c>
      <c r="E24">
        <v>7</v>
      </c>
      <c r="F24" s="12" t="str">
        <f t="shared" si="2"/>
        <v>|||||建筑等级上限+1|弟子数量+3||</v>
      </c>
      <c r="M24" t="s">
        <v>224</v>
      </c>
      <c r="N24" t="s">
        <v>225</v>
      </c>
      <c r="R24" s="12" t="str">
        <f t="shared" si="1"/>
        <v>10001|5$10006|1$20001|2$20002|2$20003|1$20004|$20005|$30001|2$30002|2$30003|1$30004|$30005|$40001|2$40002|2$40003|1$40004|$40005|$50001|1$60001|1$70001|1</v>
      </c>
      <c r="T24">
        <v>5</v>
      </c>
      <c r="U24">
        <v>1</v>
      </c>
      <c r="V24">
        <v>2</v>
      </c>
      <c r="W24">
        <v>2</v>
      </c>
      <c r="X24">
        <v>1</v>
      </c>
      <c r="AA24">
        <v>2</v>
      </c>
      <c r="AB24">
        <v>2</v>
      </c>
      <c r="AC24">
        <v>1</v>
      </c>
      <c r="AF24">
        <v>2</v>
      </c>
      <c r="AG24">
        <v>2</v>
      </c>
      <c r="AH24">
        <v>1</v>
      </c>
      <c r="AK24">
        <v>1</v>
      </c>
      <c r="AL24">
        <v>1</v>
      </c>
      <c r="AM24">
        <v>1</v>
      </c>
      <c r="AN24" s="13">
        <v>22</v>
      </c>
      <c r="AO24">
        <f t="shared" si="3"/>
        <v>24</v>
      </c>
      <c r="AP24" s="14"/>
    </row>
    <row r="25" ht="85.5" customHeight="1" spans="1:44">
      <c r="A25">
        <v>23</v>
      </c>
      <c r="B25" t="str">
        <f t="shared" si="0"/>
        <v>50001|3$60001|3$10006|7</v>
      </c>
      <c r="C25">
        <v>3</v>
      </c>
      <c r="D25">
        <v>3</v>
      </c>
      <c r="E25">
        <v>7</v>
      </c>
      <c r="F25" s="12" t="str">
        <f t="shared" si="2"/>
        <v>|||||建筑等级上限+1|弟子数量+3||</v>
      </c>
      <c r="M25" t="s">
        <v>224</v>
      </c>
      <c r="N25" t="s">
        <v>225</v>
      </c>
      <c r="R25" s="12" t="str">
        <f t="shared" si="1"/>
        <v>10001|5$10006|1$20001|2$20002|2$20003|1$20004|$20005|$30001|2$30002|2$30003|1$30004|$30005|$40001|2$40002|2$40003|1$40004|$40005|$50001|1$60001|1$70001|1</v>
      </c>
      <c r="T25">
        <v>5</v>
      </c>
      <c r="U25">
        <v>1</v>
      </c>
      <c r="V25">
        <v>2</v>
      </c>
      <c r="W25">
        <v>2</v>
      </c>
      <c r="X25">
        <v>1</v>
      </c>
      <c r="AA25">
        <v>2</v>
      </c>
      <c r="AB25">
        <v>2</v>
      </c>
      <c r="AC25">
        <v>1</v>
      </c>
      <c r="AF25">
        <v>2</v>
      </c>
      <c r="AG25">
        <v>2</v>
      </c>
      <c r="AH25">
        <v>1</v>
      </c>
      <c r="AK25">
        <v>1</v>
      </c>
      <c r="AL25">
        <v>1</v>
      </c>
      <c r="AM25">
        <v>1</v>
      </c>
      <c r="AN25" s="13">
        <v>23</v>
      </c>
      <c r="AO25">
        <f t="shared" si="3"/>
        <v>24</v>
      </c>
      <c r="AP25" s="14"/>
    </row>
    <row r="26" ht="85.5" customHeight="1" spans="1:44">
      <c r="A26">
        <v>24</v>
      </c>
      <c r="B26" t="str">
        <f t="shared" si="0"/>
        <v>50001|3$60001|3$10006|8</v>
      </c>
      <c r="C26">
        <v>3</v>
      </c>
      <c r="D26">
        <v>3</v>
      </c>
      <c r="E26">
        <v>8</v>
      </c>
      <c r="F26" s="12" t="str">
        <f t="shared" si="2"/>
        <v>可建造八级炼丹房|||||建筑等级上限+1|弟子数量+3||</v>
      </c>
      <c r="H26" t="s">
        <v>268</v>
      </c>
      <c r="M26" t="s">
        <v>224</v>
      </c>
      <c r="N26" t="s">
        <v>225</v>
      </c>
      <c r="R26" s="12" t="str">
        <f t="shared" si="1"/>
        <v>10001|5$10006|1$20001|2$20002|2$20003|1$20004|$20005|$30001|2$30002|2$30003|1$30004|$30005|$40001|2$40002|2$40003|1$40004|$40005|$50001|1$60001|1$70001|1</v>
      </c>
      <c r="T26">
        <v>5</v>
      </c>
      <c r="U26">
        <v>1</v>
      </c>
      <c r="V26">
        <v>2</v>
      </c>
      <c r="W26">
        <v>2</v>
      </c>
      <c r="X26">
        <v>1</v>
      </c>
      <c r="AA26">
        <v>2</v>
      </c>
      <c r="AB26">
        <v>2</v>
      </c>
      <c r="AC26">
        <v>1</v>
      </c>
      <c r="AF26">
        <v>2</v>
      </c>
      <c r="AG26">
        <v>2</v>
      </c>
      <c r="AH26">
        <v>1</v>
      </c>
      <c r="AK26">
        <v>1</v>
      </c>
      <c r="AL26">
        <v>1</v>
      </c>
      <c r="AM26">
        <v>1</v>
      </c>
      <c r="AN26" s="13">
        <v>24</v>
      </c>
      <c r="AO26">
        <f t="shared" si="3"/>
        <v>24</v>
      </c>
      <c r="AP26" s="14"/>
    </row>
    <row r="27" ht="85.5" customHeight="1" spans="1:44">
      <c r="A27">
        <v>25</v>
      </c>
      <c r="B27" t="str">
        <f t="shared" si="0"/>
        <v>50001|3$60001|3$10006|8</v>
      </c>
      <c r="C27">
        <v>3</v>
      </c>
      <c r="D27">
        <v>3</v>
      </c>
      <c r="E27">
        <v>8</v>
      </c>
      <c r="F27" s="12" t="str">
        <f t="shared" si="2"/>
        <v>|||||建筑等级上限+1|弟子数量+3||</v>
      </c>
      <c r="M27" t="s">
        <v>224</v>
      </c>
      <c r="N27" t="s">
        <v>225</v>
      </c>
      <c r="R27" s="12" t="str">
        <f t="shared" si="1"/>
        <v>10001|5$10006|1$20001|2$20002|2$20003|1$20004|$20005|$30001|2$30002|2$30003|1$30004|$30005|$40001|2$40002|2$40003|1$40004|$40005|$50001|1$60001|1$70001|1</v>
      </c>
      <c r="T27">
        <v>5</v>
      </c>
      <c r="U27">
        <v>1</v>
      </c>
      <c r="V27">
        <v>2</v>
      </c>
      <c r="W27">
        <v>2</v>
      </c>
      <c r="X27">
        <v>1</v>
      </c>
      <c r="AA27">
        <v>2</v>
      </c>
      <c r="AB27">
        <v>2</v>
      </c>
      <c r="AC27">
        <v>1</v>
      </c>
      <c r="AF27">
        <v>2</v>
      </c>
      <c r="AG27">
        <v>2</v>
      </c>
      <c r="AH27">
        <v>1</v>
      </c>
      <c r="AK27">
        <v>1</v>
      </c>
      <c r="AL27">
        <v>1</v>
      </c>
      <c r="AM27">
        <v>1</v>
      </c>
      <c r="AN27" s="13">
        <v>25</v>
      </c>
      <c r="AO27">
        <f t="shared" si="3"/>
        <v>24</v>
      </c>
      <c r="AP27" s="14"/>
    </row>
    <row r="28" ht="85.5" customHeight="1" spans="1:44">
      <c r="A28">
        <v>26</v>
      </c>
      <c r="B28" t="str">
        <f t="shared" si="0"/>
        <v>50001|3$60001|3$10006|8</v>
      </c>
      <c r="C28">
        <v>3</v>
      </c>
      <c r="D28">
        <v>3</v>
      </c>
      <c r="E28">
        <v>8</v>
      </c>
      <c r="F28" s="12" t="str">
        <f t="shared" si="2"/>
        <v>|解锁更多空地||玄级矿场上限+1|灵田上限+1|建筑等级上限+1|弟子数量+3|玄级灵树上限+1|玄级藏经阁上限+1</v>
      </c>
      <c r="I28" t="s">
        <v>229</v>
      </c>
      <c r="K28" t="s">
        <v>269</v>
      </c>
      <c r="L28" t="s">
        <v>223</v>
      </c>
      <c r="M28" t="s">
        <v>224</v>
      </c>
      <c r="N28" t="s">
        <v>225</v>
      </c>
      <c r="O28" t="s">
        <v>270</v>
      </c>
      <c r="P28" t="s">
        <v>271</v>
      </c>
      <c r="R28" s="12" t="str">
        <f t="shared" si="1"/>
        <v>10001|6$10006|1$20001|2$20002|2$20003|2$20004|$20005|$30001|2$30002|2$30003|2$30004|$30005|$40001|2$40002|2$40003|2$40004|$40005|$50001|1$60001|1$70001|1</v>
      </c>
      <c r="T28">
        <v>6</v>
      </c>
      <c r="U28">
        <v>1</v>
      </c>
      <c r="V28">
        <v>2</v>
      </c>
      <c r="W28">
        <v>2</v>
      </c>
      <c r="X28">
        <v>2</v>
      </c>
      <c r="AA28">
        <v>2</v>
      </c>
      <c r="AB28">
        <v>2</v>
      </c>
      <c r="AC28">
        <v>2</v>
      </c>
      <c r="AF28">
        <v>2</v>
      </c>
      <c r="AG28">
        <v>2</v>
      </c>
      <c r="AH28">
        <v>2</v>
      </c>
      <c r="AK28">
        <v>1</v>
      </c>
      <c r="AL28">
        <v>1</v>
      </c>
      <c r="AM28">
        <v>1</v>
      </c>
      <c r="AN28" s="13">
        <v>26</v>
      </c>
      <c r="AO28">
        <f t="shared" si="3"/>
        <v>28</v>
      </c>
      <c r="AP28" s="14"/>
    </row>
    <row r="29" ht="85.5" customHeight="1" spans="1:44">
      <c r="A29">
        <v>27</v>
      </c>
      <c r="B29" t="str">
        <f t="shared" si="0"/>
        <v>50001|3$60001|3$10006|9</v>
      </c>
      <c r="C29">
        <v>3</v>
      </c>
      <c r="D29">
        <v>3</v>
      </c>
      <c r="E29">
        <v>9</v>
      </c>
      <c r="F29" s="12" t="str">
        <f t="shared" si="2"/>
        <v>可建造九级炼丹房|||||建筑等级上限+1|弟子数量+3||</v>
      </c>
      <c r="H29" t="s">
        <v>272</v>
      </c>
      <c r="M29" t="s">
        <v>224</v>
      </c>
      <c r="N29" t="s">
        <v>225</v>
      </c>
      <c r="R29" s="12" t="str">
        <f t="shared" si="1"/>
        <v>10001|6$10006|1$20001|2$20002|2$20003|2$20004|$20005|$30001|2$30002|2$30003|2$30004|$30005|$40001|2$40002|2$40003|2$40004|$40005|$50001|1$60001|1$70001|1</v>
      </c>
      <c r="T29">
        <v>6</v>
      </c>
      <c r="U29">
        <v>1</v>
      </c>
      <c r="V29">
        <v>2</v>
      </c>
      <c r="W29">
        <v>2</v>
      </c>
      <c r="X29">
        <v>2</v>
      </c>
      <c r="AA29">
        <v>2</v>
      </c>
      <c r="AB29">
        <v>2</v>
      </c>
      <c r="AC29">
        <v>2</v>
      </c>
      <c r="AF29">
        <v>2</v>
      </c>
      <c r="AG29">
        <v>2</v>
      </c>
      <c r="AH29">
        <v>2</v>
      </c>
      <c r="AK29">
        <v>1</v>
      </c>
      <c r="AL29">
        <v>1</v>
      </c>
      <c r="AM29">
        <v>1</v>
      </c>
      <c r="AN29" s="13">
        <v>27</v>
      </c>
      <c r="AO29">
        <f t="shared" si="3"/>
        <v>28</v>
      </c>
      <c r="AP29" s="14"/>
    </row>
    <row r="30" ht="85.5" customHeight="1" spans="1:44">
      <c r="A30">
        <v>28</v>
      </c>
      <c r="B30" t="str">
        <f t="shared" si="0"/>
        <v>50001|3$60001|3$10006|9</v>
      </c>
      <c r="C30">
        <v>3</v>
      </c>
      <c r="D30">
        <v>3</v>
      </c>
      <c r="E30">
        <v>9</v>
      </c>
      <c r="F30" s="12" t="str">
        <f t="shared" si="2"/>
        <v>|||||建筑等级上限+1|弟子数量+3||</v>
      </c>
      <c r="M30" t="s">
        <v>224</v>
      </c>
      <c r="N30" t="s">
        <v>225</v>
      </c>
      <c r="R30" s="12" t="str">
        <f t="shared" si="1"/>
        <v>10001|6$10006|1$20001|2$20002|2$20003|2$20004|$20005|$30001|2$30002|2$30003|2$30004|$30005|$40001|2$40002|2$40003|2$40004|$40005|$50001|1$60001|1$70001|1</v>
      </c>
      <c r="T30">
        <v>6</v>
      </c>
      <c r="U30">
        <v>1</v>
      </c>
      <c r="V30">
        <v>2</v>
      </c>
      <c r="W30">
        <v>2</v>
      </c>
      <c r="X30">
        <v>2</v>
      </c>
      <c r="AA30">
        <v>2</v>
      </c>
      <c r="AB30">
        <v>2</v>
      </c>
      <c r="AC30">
        <v>2</v>
      </c>
      <c r="AF30">
        <v>2</v>
      </c>
      <c r="AG30">
        <v>2</v>
      </c>
      <c r="AH30">
        <v>2</v>
      </c>
      <c r="AK30">
        <v>1</v>
      </c>
      <c r="AL30">
        <v>1</v>
      </c>
      <c r="AM30">
        <v>1</v>
      </c>
      <c r="AN30" s="13">
        <v>28</v>
      </c>
      <c r="AO30">
        <f t="shared" si="3"/>
        <v>28</v>
      </c>
      <c r="AP30" s="14"/>
    </row>
    <row r="31" ht="85.5" customHeight="1" spans="1:44">
      <c r="A31">
        <v>29</v>
      </c>
      <c r="B31" t="str">
        <f t="shared" si="0"/>
        <v>50001|3$60001|3$10006|9</v>
      </c>
      <c r="C31">
        <v>3</v>
      </c>
      <c r="D31">
        <v>3</v>
      </c>
      <c r="E31">
        <v>9</v>
      </c>
      <c r="F31" s="12" t="str">
        <f t="shared" si="2"/>
        <v>|||||建筑等级上限+1|弟子数量+3||</v>
      </c>
      <c r="M31" t="s">
        <v>224</v>
      </c>
      <c r="N31" t="s">
        <v>225</v>
      </c>
      <c r="R31" s="12" t="str">
        <f t="shared" si="1"/>
        <v>10001|6$10006|1$20001|2$20002|2$20003|2$20004|$20005|$30001|2$30002|2$30003|2$30004|$30005|$40001|2$40002|2$40003|2$40004|$40005|$50001|1$60001|1$70001|1</v>
      </c>
      <c r="T31">
        <v>6</v>
      </c>
      <c r="U31">
        <v>1</v>
      </c>
      <c r="V31">
        <v>2</v>
      </c>
      <c r="W31">
        <v>2</v>
      </c>
      <c r="X31">
        <v>2</v>
      </c>
      <c r="AA31">
        <v>2</v>
      </c>
      <c r="AB31">
        <v>2</v>
      </c>
      <c r="AC31">
        <v>2</v>
      </c>
      <c r="AF31">
        <v>2</v>
      </c>
      <c r="AG31">
        <v>2</v>
      </c>
      <c r="AH31">
        <v>2</v>
      </c>
      <c r="AK31">
        <v>1</v>
      </c>
      <c r="AL31">
        <v>1</v>
      </c>
      <c r="AM31">
        <v>1</v>
      </c>
      <c r="AN31" s="13">
        <v>29</v>
      </c>
      <c r="AO31">
        <f t="shared" si="3"/>
        <v>28</v>
      </c>
      <c r="AP31" s="14"/>
    </row>
    <row r="32" ht="85.5" customHeight="1" spans="1:44">
      <c r="A32">
        <v>30</v>
      </c>
      <c r="B32" t="str">
        <f t="shared" si="0"/>
        <v>50001|3$60001|3$10006|9</v>
      </c>
      <c r="C32">
        <v>3</v>
      </c>
      <c r="D32">
        <v>3</v>
      </c>
      <c r="E32">
        <v>9</v>
      </c>
      <c r="F32" s="12" t="str">
        <f t="shared" si="2"/>
        <v>|||||建筑等级上限+1|弟子数量+3||</v>
      </c>
      <c r="M32" t="s">
        <v>224</v>
      </c>
      <c r="N32" t="s">
        <v>225</v>
      </c>
      <c r="R32" s="12" t="str">
        <f t="shared" si="1"/>
        <v>10001|6$10006|1$20001|2$20002|2$20003|2$20004|$20005|$30001|2$30002|2$30003|2$30004|$30005|$40001|2$40002|2$40003|2$40004|$40005|$50001|1$60001|1$70001|1</v>
      </c>
      <c r="T32">
        <v>6</v>
      </c>
      <c r="U32">
        <v>1</v>
      </c>
      <c r="V32">
        <v>2</v>
      </c>
      <c r="W32">
        <v>2</v>
      </c>
      <c r="X32">
        <v>2</v>
      </c>
      <c r="AA32">
        <v>2</v>
      </c>
      <c r="AB32">
        <v>2</v>
      </c>
      <c r="AC32">
        <v>2</v>
      </c>
      <c r="AF32">
        <v>2</v>
      </c>
      <c r="AG32">
        <v>2</v>
      </c>
      <c r="AH32">
        <v>2</v>
      </c>
      <c r="AK32">
        <v>1</v>
      </c>
      <c r="AL32">
        <v>1</v>
      </c>
      <c r="AM32">
        <v>1</v>
      </c>
      <c r="AN32" s="13">
        <v>30</v>
      </c>
      <c r="AO32">
        <f t="shared" si="3"/>
        <v>28</v>
      </c>
      <c r="AP32" s="14"/>
    </row>
    <row r="33" ht="85.5" customHeight="1" spans="1:43">
      <c r="A33">
        <v>31</v>
      </c>
      <c r="B33" t="str">
        <f t="shared" si="0"/>
        <v>50001|4$60001|4$10006|10</v>
      </c>
      <c r="C33">
        <v>4</v>
      </c>
      <c r="D33">
        <v>4</v>
      </c>
      <c r="E33">
        <v>10</v>
      </c>
      <c r="F33" s="12" t="str">
        <f t="shared" si="2"/>
        <v>可建造十级炼丹房|解锁更多空地|可建造四级炼器房|可以建造地级矿场|灵田上限+1|建筑等级上限+1|弟子数量+3|可以建造地级灵树|可以建造地级藏经阁</v>
      </c>
      <c r="G33" t="s">
        <v>273</v>
      </c>
      <c r="H33" t="s">
        <v>274</v>
      </c>
      <c r="I33" t="s">
        <v>229</v>
      </c>
      <c r="J33" t="s">
        <v>275</v>
      </c>
      <c r="K33" t="s">
        <v>276</v>
      </c>
      <c r="L33" t="s">
        <v>223</v>
      </c>
      <c r="M33" t="s">
        <v>224</v>
      </c>
      <c r="N33" t="s">
        <v>225</v>
      </c>
      <c r="O33" t="s">
        <v>277</v>
      </c>
      <c r="P33" t="s">
        <v>278</v>
      </c>
      <c r="R33" s="12" t="str">
        <f t="shared" si="1"/>
        <v>10001|7$10006|1$20001|2$20002|2$20003|2$20004|1$20005|$30001|2$30002|2$30003|2$30004|1$30005|$40001|2$40002|2$40003|2$40004|1$40005|$50001|1$60001|1$70001|1</v>
      </c>
      <c r="T33">
        <v>7</v>
      </c>
      <c r="U33">
        <v>1</v>
      </c>
      <c r="V33">
        <v>2</v>
      </c>
      <c r="W33">
        <v>2</v>
      </c>
      <c r="X33">
        <v>2</v>
      </c>
      <c r="Y33">
        <v>1</v>
      </c>
      <c r="AA33">
        <v>2</v>
      </c>
      <c r="AB33">
        <v>2</v>
      </c>
      <c r="AC33">
        <v>2</v>
      </c>
      <c r="AD33">
        <v>1</v>
      </c>
      <c r="AF33">
        <v>2</v>
      </c>
      <c r="AG33">
        <v>2</v>
      </c>
      <c r="AH33">
        <v>2</v>
      </c>
      <c r="AI33">
        <v>1</v>
      </c>
      <c r="AK33">
        <v>1</v>
      </c>
      <c r="AL33">
        <v>1</v>
      </c>
      <c r="AM33">
        <v>1</v>
      </c>
      <c r="AN33" s="13">
        <v>31</v>
      </c>
      <c r="AO33">
        <f t="shared" si="3"/>
        <v>32</v>
      </c>
      <c r="AQ33" t="s">
        <v>279</v>
      </c>
    </row>
    <row r="34" ht="85.5" customHeight="1" spans="1:43">
      <c r="A34">
        <v>32</v>
      </c>
      <c r="B34" t="str">
        <f t="shared" si="0"/>
        <v>50001|4$60001|4$10006|10</v>
      </c>
      <c r="C34">
        <v>4</v>
      </c>
      <c r="D34">
        <v>4</v>
      </c>
      <c r="E34">
        <v>10</v>
      </c>
      <c r="F34" s="12" t="str">
        <f t="shared" si="2"/>
        <v>|||||建筑等级上限+1|弟子数量+3||</v>
      </c>
      <c r="M34" t="s">
        <v>224</v>
      </c>
      <c r="N34" t="s">
        <v>225</v>
      </c>
      <c r="R34" s="12" t="str">
        <f t="shared" si="1"/>
        <v>10001|7$10006|1$20001|2$20002|2$20003|2$20004|1$20005|$30001|2$30002|2$30003|2$30004|1$30005|$40001|2$40002|2$40003|2$40004|1$40005|$50001|1$60001|1$70001|1</v>
      </c>
      <c r="T34">
        <v>7</v>
      </c>
      <c r="U34">
        <v>1</v>
      </c>
      <c r="V34">
        <v>2</v>
      </c>
      <c r="W34">
        <v>2</v>
      </c>
      <c r="X34">
        <v>2</v>
      </c>
      <c r="Y34">
        <v>1</v>
      </c>
      <c r="AA34">
        <v>2</v>
      </c>
      <c r="AB34">
        <v>2</v>
      </c>
      <c r="AC34">
        <v>2</v>
      </c>
      <c r="AD34">
        <v>1</v>
      </c>
      <c r="AF34">
        <v>2</v>
      </c>
      <c r="AG34">
        <v>2</v>
      </c>
      <c r="AH34">
        <v>2</v>
      </c>
      <c r="AI34">
        <v>1</v>
      </c>
      <c r="AK34">
        <v>1</v>
      </c>
      <c r="AL34">
        <v>1</v>
      </c>
      <c r="AM34">
        <v>1</v>
      </c>
      <c r="AN34" s="13">
        <v>32</v>
      </c>
      <c r="AO34">
        <f t="shared" si="3"/>
        <v>32</v>
      </c>
    </row>
    <row r="35" ht="85.5" customHeight="1" spans="1:43">
      <c r="A35">
        <v>33</v>
      </c>
      <c r="B35" t="str">
        <f t="shared" si="0"/>
        <v>50001|4$60001|4$10006|10</v>
      </c>
      <c r="C35">
        <v>4</v>
      </c>
      <c r="D35">
        <v>4</v>
      </c>
      <c r="E35">
        <v>10</v>
      </c>
      <c r="F35" s="12" t="str">
        <f t="shared" si="2"/>
        <v>|||||建筑等级上限+1|弟子数量+3||</v>
      </c>
      <c r="M35" t="s">
        <v>224</v>
      </c>
      <c r="N35" t="s">
        <v>225</v>
      </c>
      <c r="R35" s="12" t="str">
        <f t="shared" si="1"/>
        <v>10001|7$10006|1$20001|2$20002|2$20003|2$20004|1$20005|$30001|2$30002|2$30003|2$30004|1$30005|$40001|2$40002|2$40003|2$40004|1$40005|$50001|1$60001|1$70001|1</v>
      </c>
      <c r="T35">
        <v>7</v>
      </c>
      <c r="U35">
        <v>1</v>
      </c>
      <c r="V35">
        <v>2</v>
      </c>
      <c r="W35">
        <v>2</v>
      </c>
      <c r="X35">
        <v>2</v>
      </c>
      <c r="Y35">
        <v>1</v>
      </c>
      <c r="AA35">
        <v>2</v>
      </c>
      <c r="AB35">
        <v>2</v>
      </c>
      <c r="AC35">
        <v>2</v>
      </c>
      <c r="AD35">
        <v>1</v>
      </c>
      <c r="AF35">
        <v>2</v>
      </c>
      <c r="AG35">
        <v>2</v>
      </c>
      <c r="AH35">
        <v>2</v>
      </c>
      <c r="AI35">
        <v>1</v>
      </c>
      <c r="AK35">
        <v>1</v>
      </c>
      <c r="AL35">
        <v>1</v>
      </c>
      <c r="AM35">
        <v>1</v>
      </c>
      <c r="AN35" s="13">
        <v>33</v>
      </c>
      <c r="AO35">
        <f t="shared" si="3"/>
        <v>32</v>
      </c>
    </row>
    <row r="36" ht="85.5" customHeight="1" spans="1:43">
      <c r="A36">
        <v>34</v>
      </c>
      <c r="B36" t="str">
        <f t="shared" si="0"/>
        <v>50001|4$60001|4$10006|11</v>
      </c>
      <c r="C36">
        <v>4</v>
      </c>
      <c r="D36">
        <v>4</v>
      </c>
      <c r="E36">
        <v>11</v>
      </c>
      <c r="F36" s="12" t="str">
        <f t="shared" si="2"/>
        <v>可建造十一级炼丹房|||||建筑等级上限+1|弟子数量+3||</v>
      </c>
      <c r="H36" t="s">
        <v>280</v>
      </c>
      <c r="M36" t="s">
        <v>224</v>
      </c>
      <c r="N36" t="s">
        <v>225</v>
      </c>
      <c r="R36" s="12" t="str">
        <f t="shared" si="1"/>
        <v>10001|7$10006|1$20001|2$20002|2$20003|2$20004|1$20005|$30001|2$30002|2$30003|2$30004|1$30005|$40001|2$40002|2$40003|2$40004|1$40005|$50001|1$60001|1$70001|1</v>
      </c>
      <c r="T36">
        <v>7</v>
      </c>
      <c r="U36">
        <v>1</v>
      </c>
      <c r="V36">
        <v>2</v>
      </c>
      <c r="W36">
        <v>2</v>
      </c>
      <c r="X36">
        <v>2</v>
      </c>
      <c r="Y36">
        <v>1</v>
      </c>
      <c r="AA36">
        <v>2</v>
      </c>
      <c r="AB36">
        <v>2</v>
      </c>
      <c r="AC36">
        <v>2</v>
      </c>
      <c r="AD36">
        <v>1</v>
      </c>
      <c r="AF36">
        <v>2</v>
      </c>
      <c r="AG36">
        <v>2</v>
      </c>
      <c r="AH36">
        <v>2</v>
      </c>
      <c r="AI36">
        <v>1</v>
      </c>
      <c r="AK36">
        <v>1</v>
      </c>
      <c r="AL36">
        <v>1</v>
      </c>
      <c r="AM36">
        <v>1</v>
      </c>
      <c r="AN36" s="13">
        <v>34</v>
      </c>
      <c r="AO36">
        <f t="shared" si="3"/>
        <v>32</v>
      </c>
    </row>
    <row r="37" ht="85.5" customHeight="1" spans="1:43">
      <c r="A37">
        <v>35</v>
      </c>
      <c r="B37" t="str">
        <f t="shared" si="0"/>
        <v>50001|4$60001|4$10006|11</v>
      </c>
      <c r="C37">
        <v>4</v>
      </c>
      <c r="D37">
        <v>4</v>
      </c>
      <c r="E37">
        <v>11</v>
      </c>
      <c r="F37" s="12" t="str">
        <f t="shared" si="2"/>
        <v>|||||建筑等级上限+1|弟子数量+3||</v>
      </c>
      <c r="M37" t="s">
        <v>224</v>
      </c>
      <c r="N37" t="s">
        <v>225</v>
      </c>
      <c r="R37" s="12" t="str">
        <f t="shared" si="1"/>
        <v>10001|7$10006|1$20001|2$20002|2$20003|2$20004|1$20005|$30001|2$30002|2$30003|2$30004|1$30005|$40001|2$40002|2$40003|2$40004|1$40005|$50001|1$60001|1$70001|1</v>
      </c>
      <c r="T37">
        <v>7</v>
      </c>
      <c r="U37">
        <v>1</v>
      </c>
      <c r="V37">
        <v>2</v>
      </c>
      <c r="W37">
        <v>2</v>
      </c>
      <c r="X37">
        <v>2</v>
      </c>
      <c r="Y37">
        <v>1</v>
      </c>
      <c r="AA37">
        <v>2</v>
      </c>
      <c r="AB37">
        <v>2</v>
      </c>
      <c r="AC37">
        <v>2</v>
      </c>
      <c r="AD37">
        <v>1</v>
      </c>
      <c r="AF37">
        <v>2</v>
      </c>
      <c r="AG37">
        <v>2</v>
      </c>
      <c r="AH37">
        <v>2</v>
      </c>
      <c r="AI37">
        <v>1</v>
      </c>
      <c r="AK37">
        <v>1</v>
      </c>
      <c r="AL37">
        <v>1</v>
      </c>
      <c r="AM37">
        <v>1</v>
      </c>
      <c r="AN37" s="13">
        <v>35</v>
      </c>
      <c r="AO37">
        <f t="shared" si="3"/>
        <v>32</v>
      </c>
    </row>
    <row r="38" ht="85.5" customHeight="1" spans="1:43">
      <c r="A38">
        <v>36</v>
      </c>
      <c r="B38" t="str">
        <f t="shared" si="0"/>
        <v>50001|4$60001|4$10006|11</v>
      </c>
      <c r="C38">
        <v>4</v>
      </c>
      <c r="D38">
        <v>4</v>
      </c>
      <c r="E38">
        <v>11</v>
      </c>
      <c r="F38" s="12" t="str">
        <f t="shared" si="2"/>
        <v>|解锁更多空地||地级矿场上限+1|灵田上限+1|建筑等级上限+1|弟子数量+3|地级灵树上限+1|地级藏经阁上限+1</v>
      </c>
      <c r="I38" t="s">
        <v>229</v>
      </c>
      <c r="K38" t="s">
        <v>281</v>
      </c>
      <c r="L38" t="s">
        <v>223</v>
      </c>
      <c r="M38" t="s">
        <v>224</v>
      </c>
      <c r="N38" t="s">
        <v>225</v>
      </c>
      <c r="O38" t="s">
        <v>282</v>
      </c>
      <c r="P38" t="s">
        <v>283</v>
      </c>
      <c r="R38" s="12" t="str">
        <f t="shared" si="1"/>
        <v>10001|8$10006|1$20001|2$20002|2$20003|2$20004|2$20005|$30001|2$30002|2$30003|2$30004|2$30005|$40001|2$40002|2$40003|2$40004|2$40005|$50001|1$60001|1$70001|1</v>
      </c>
      <c r="T38">
        <v>8</v>
      </c>
      <c r="U38">
        <v>1</v>
      </c>
      <c r="V38">
        <v>2</v>
      </c>
      <c r="W38">
        <v>2</v>
      </c>
      <c r="X38">
        <v>2</v>
      </c>
      <c r="Y38">
        <v>2</v>
      </c>
      <c r="AA38">
        <v>2</v>
      </c>
      <c r="AB38">
        <v>2</v>
      </c>
      <c r="AC38">
        <v>2</v>
      </c>
      <c r="AD38">
        <v>2</v>
      </c>
      <c r="AF38">
        <v>2</v>
      </c>
      <c r="AG38">
        <v>2</v>
      </c>
      <c r="AH38">
        <v>2</v>
      </c>
      <c r="AI38">
        <v>2</v>
      </c>
      <c r="AK38">
        <v>1</v>
      </c>
      <c r="AL38">
        <v>1</v>
      </c>
      <c r="AM38">
        <v>1</v>
      </c>
      <c r="AN38" s="13">
        <v>36</v>
      </c>
      <c r="AO38">
        <f t="shared" si="3"/>
        <v>36</v>
      </c>
    </row>
    <row r="39" ht="85.5" customHeight="1" spans="1:43">
      <c r="A39">
        <v>37</v>
      </c>
      <c r="B39" t="str">
        <f t="shared" si="0"/>
        <v>50001|4$60001|4$10006|12</v>
      </c>
      <c r="C39">
        <v>4</v>
      </c>
      <c r="D39">
        <v>4</v>
      </c>
      <c r="E39">
        <v>12</v>
      </c>
      <c r="F39" s="12" t="str">
        <f t="shared" si="2"/>
        <v>可建造十二级炼丹房|||||建筑等级上限+1|弟子数量+3||</v>
      </c>
      <c r="H39" t="s">
        <v>284</v>
      </c>
      <c r="M39" t="s">
        <v>224</v>
      </c>
      <c r="N39" t="s">
        <v>225</v>
      </c>
      <c r="R39" s="12" t="str">
        <f t="shared" si="1"/>
        <v>10001|8$10006|1$20001|2$20002|2$20003|2$20004|2$20005|$30001|2$30002|2$30003|2$30004|2$30005|$40001|2$40002|2$40003|2$40004|2$40005|$50001|1$60001|1$70001|1</v>
      </c>
      <c r="T39">
        <v>8</v>
      </c>
      <c r="U39">
        <v>1</v>
      </c>
      <c r="V39">
        <v>2</v>
      </c>
      <c r="W39">
        <v>2</v>
      </c>
      <c r="X39">
        <v>2</v>
      </c>
      <c r="Y39">
        <v>2</v>
      </c>
      <c r="AA39">
        <v>2</v>
      </c>
      <c r="AB39">
        <v>2</v>
      </c>
      <c r="AC39">
        <v>2</v>
      </c>
      <c r="AD39">
        <v>2</v>
      </c>
      <c r="AF39">
        <v>2</v>
      </c>
      <c r="AG39">
        <v>2</v>
      </c>
      <c r="AH39">
        <v>2</v>
      </c>
      <c r="AI39">
        <v>2</v>
      </c>
      <c r="AK39">
        <v>1</v>
      </c>
      <c r="AL39">
        <v>1</v>
      </c>
      <c r="AM39">
        <v>1</v>
      </c>
      <c r="AN39" s="13">
        <v>37</v>
      </c>
      <c r="AO39">
        <f t="shared" si="3"/>
        <v>36</v>
      </c>
    </row>
    <row r="40" ht="85.5" customHeight="1" spans="1:43">
      <c r="A40">
        <v>38</v>
      </c>
      <c r="B40" t="str">
        <f t="shared" si="0"/>
        <v>50001|4$60001|4$10006|12</v>
      </c>
      <c r="C40">
        <v>4</v>
      </c>
      <c r="D40">
        <v>4</v>
      </c>
      <c r="E40">
        <v>12</v>
      </c>
      <c r="F40" s="12" t="str">
        <f t="shared" si="2"/>
        <v>|||||建筑等级上限+1|弟子数量+3||</v>
      </c>
      <c r="M40" t="s">
        <v>224</v>
      </c>
      <c r="N40" t="s">
        <v>225</v>
      </c>
      <c r="R40" s="12" t="str">
        <f t="shared" si="1"/>
        <v>10001|8$10006|1$20001|2$20002|2$20003|2$20004|2$20005|$30001|2$30002|2$30003|2$30004|2$30005|$40001|2$40002|2$40003|2$40004|2$40005|$50001|1$60001|1$70001|1</v>
      </c>
      <c r="T40">
        <v>8</v>
      </c>
      <c r="U40">
        <v>1</v>
      </c>
      <c r="V40">
        <v>2</v>
      </c>
      <c r="W40">
        <v>2</v>
      </c>
      <c r="X40">
        <v>2</v>
      </c>
      <c r="Y40">
        <v>2</v>
      </c>
      <c r="AA40">
        <v>2</v>
      </c>
      <c r="AB40">
        <v>2</v>
      </c>
      <c r="AC40">
        <v>2</v>
      </c>
      <c r="AD40">
        <v>2</v>
      </c>
      <c r="AF40">
        <v>2</v>
      </c>
      <c r="AG40">
        <v>2</v>
      </c>
      <c r="AH40">
        <v>2</v>
      </c>
      <c r="AI40">
        <v>2</v>
      </c>
      <c r="AK40">
        <v>1</v>
      </c>
      <c r="AL40">
        <v>1</v>
      </c>
      <c r="AM40">
        <v>1</v>
      </c>
      <c r="AN40" s="13">
        <v>38</v>
      </c>
      <c r="AO40">
        <f t="shared" si="3"/>
        <v>36</v>
      </c>
    </row>
    <row r="41" ht="85.5" customHeight="1" spans="1:43">
      <c r="A41">
        <v>39</v>
      </c>
      <c r="B41" t="str">
        <f t="shared" si="0"/>
        <v>50001|4$60001|4$10006|12</v>
      </c>
      <c r="C41">
        <v>4</v>
      </c>
      <c r="D41">
        <v>4</v>
      </c>
      <c r="E41">
        <v>12</v>
      </c>
      <c r="F41" s="12" t="str">
        <f t="shared" si="2"/>
        <v>|||||建筑等级上限+1|弟子数量+3||</v>
      </c>
      <c r="M41" t="s">
        <v>224</v>
      </c>
      <c r="N41" t="s">
        <v>225</v>
      </c>
      <c r="R41" s="12" t="str">
        <f t="shared" si="1"/>
        <v>10001|8$10006|1$20001|2$20002|2$20003|2$20004|2$20005|$30001|2$30002|2$30003|2$30004|2$30005|$40001|2$40002|2$40003|2$40004|2$40005|$50001|1$60001|1$70001|1</v>
      </c>
      <c r="T41">
        <v>8</v>
      </c>
      <c r="U41">
        <v>1</v>
      </c>
      <c r="V41">
        <v>2</v>
      </c>
      <c r="W41">
        <v>2</v>
      </c>
      <c r="X41">
        <v>2</v>
      </c>
      <c r="Y41">
        <v>2</v>
      </c>
      <c r="AA41">
        <v>2</v>
      </c>
      <c r="AB41">
        <v>2</v>
      </c>
      <c r="AC41">
        <v>2</v>
      </c>
      <c r="AD41">
        <v>2</v>
      </c>
      <c r="AF41">
        <v>2</v>
      </c>
      <c r="AG41">
        <v>2</v>
      </c>
      <c r="AH41">
        <v>2</v>
      </c>
      <c r="AI41">
        <v>2</v>
      </c>
      <c r="AK41">
        <v>1</v>
      </c>
      <c r="AL41">
        <v>1</v>
      </c>
      <c r="AM41">
        <v>1</v>
      </c>
      <c r="AN41" s="13">
        <v>39</v>
      </c>
      <c r="AO41">
        <f t="shared" si="3"/>
        <v>36</v>
      </c>
    </row>
    <row r="42" ht="85.5" customHeight="1" spans="1:43">
      <c r="A42">
        <v>40</v>
      </c>
      <c r="B42" t="str">
        <f t="shared" si="0"/>
        <v>50001|4$60001|4$10006|12</v>
      </c>
      <c r="C42">
        <v>4</v>
      </c>
      <c r="D42">
        <v>4</v>
      </c>
      <c r="E42">
        <v>12</v>
      </c>
      <c r="F42" s="12" t="str">
        <f t="shared" si="2"/>
        <v>|||||建筑等级上限+1|弟子数量+3||</v>
      </c>
      <c r="M42" t="s">
        <v>224</v>
      </c>
      <c r="N42" t="s">
        <v>225</v>
      </c>
      <c r="R42" s="12" t="str">
        <f t="shared" si="1"/>
        <v>10001|8$10006|1$20001|2$20002|2$20003|2$20004|2$20005|$30001|2$30002|2$30003|2$30004|2$30005|$40001|2$40002|2$40003|2$40004|2$40005|$50001|1$60001|1$70001|1</v>
      </c>
      <c r="T42">
        <v>8</v>
      </c>
      <c r="U42">
        <v>1</v>
      </c>
      <c r="V42">
        <v>2</v>
      </c>
      <c r="W42">
        <v>2</v>
      </c>
      <c r="X42">
        <v>2</v>
      </c>
      <c r="Y42">
        <v>2</v>
      </c>
      <c r="AA42">
        <v>2</v>
      </c>
      <c r="AB42">
        <v>2</v>
      </c>
      <c r="AC42">
        <v>2</v>
      </c>
      <c r="AD42">
        <v>2</v>
      </c>
      <c r="AF42">
        <v>2</v>
      </c>
      <c r="AG42">
        <v>2</v>
      </c>
      <c r="AH42">
        <v>2</v>
      </c>
      <c r="AI42">
        <v>2</v>
      </c>
      <c r="AK42">
        <v>1</v>
      </c>
      <c r="AL42">
        <v>1</v>
      </c>
      <c r="AM42">
        <v>1</v>
      </c>
      <c r="AN42" s="13">
        <v>40</v>
      </c>
      <c r="AO42">
        <f t="shared" si="3"/>
        <v>36</v>
      </c>
    </row>
    <row r="43" ht="99.75" customHeight="1" spans="1:43">
      <c r="A43">
        <v>41</v>
      </c>
      <c r="B43" t="str">
        <f t="shared" si="0"/>
        <v>50001|5$60001|5$10006|13</v>
      </c>
      <c r="C43">
        <v>5</v>
      </c>
      <c r="D43">
        <v>5</v>
      </c>
      <c r="E43">
        <v>13</v>
      </c>
      <c r="F43" s="12" t="str">
        <f t="shared" si="2"/>
        <v>可建造十三级炼丹房|解锁更多空地|可建造五级炼器房|可以建造天级矿场|灵田上限+1|建筑等级上限+1|弟子数量+3|可以建造天级灵树|可以建造天级藏经阁</v>
      </c>
      <c r="G43" t="s">
        <v>285</v>
      </c>
      <c r="H43" t="s">
        <v>286</v>
      </c>
      <c r="I43" t="s">
        <v>229</v>
      </c>
      <c r="J43" t="s">
        <v>287</v>
      </c>
      <c r="K43" t="s">
        <v>288</v>
      </c>
      <c r="L43" t="s">
        <v>223</v>
      </c>
      <c r="M43" t="s">
        <v>224</v>
      </c>
      <c r="N43" t="s">
        <v>225</v>
      </c>
      <c r="O43" t="s">
        <v>289</v>
      </c>
      <c r="P43" t="s">
        <v>290</v>
      </c>
      <c r="R43" s="12" t="str">
        <f t="shared" si="1"/>
        <v>10001|9$10006|1$20001|2$20002|2$20003|2$20004|2$20005|1$30001|2$30002|2$30003|2$30004|2$30005|1$40001|2$40002|2$40003|2$40004|2$40005|1$50001|1$60001|1$70001|1</v>
      </c>
      <c r="T43">
        <v>9</v>
      </c>
      <c r="U43">
        <v>1</v>
      </c>
      <c r="V43">
        <v>2</v>
      </c>
      <c r="W43">
        <v>2</v>
      </c>
      <c r="X43">
        <v>2</v>
      </c>
      <c r="Y43">
        <v>2</v>
      </c>
      <c r="Z43">
        <v>1</v>
      </c>
      <c r="AA43">
        <v>2</v>
      </c>
      <c r="AB43">
        <v>2</v>
      </c>
      <c r="AC43">
        <v>2</v>
      </c>
      <c r="AD43">
        <v>2</v>
      </c>
      <c r="AE43">
        <v>1</v>
      </c>
      <c r="AF43">
        <v>2</v>
      </c>
      <c r="AG43">
        <v>2</v>
      </c>
      <c r="AH43">
        <v>2</v>
      </c>
      <c r="AI43">
        <v>2</v>
      </c>
      <c r="AJ43">
        <v>1</v>
      </c>
      <c r="AK43">
        <v>1</v>
      </c>
      <c r="AL43">
        <v>1</v>
      </c>
      <c r="AM43">
        <v>1</v>
      </c>
      <c r="AN43" s="13">
        <v>41</v>
      </c>
      <c r="AO43">
        <f t="shared" si="3"/>
        <v>40</v>
      </c>
      <c r="AQ43" t="s">
        <v>291</v>
      </c>
    </row>
    <row r="44" ht="99.75" customHeight="1" spans="1:43">
      <c r="A44">
        <v>42</v>
      </c>
      <c r="B44" t="str">
        <f t="shared" si="0"/>
        <v>50001|5$60001|5$10006|13</v>
      </c>
      <c r="C44">
        <v>5</v>
      </c>
      <c r="D44">
        <v>5</v>
      </c>
      <c r="E44">
        <v>13</v>
      </c>
      <c r="F44" s="12" t="str">
        <f t="shared" si="2"/>
        <v>|||||建筑等级上限+1|弟子数量+3||</v>
      </c>
      <c r="M44" t="s">
        <v>224</v>
      </c>
      <c r="N44" t="s">
        <v>225</v>
      </c>
      <c r="R44" s="12" t="str">
        <f t="shared" si="1"/>
        <v>10001|9$10006|1$20001|2$20002|2$20003|2$20004|2$20005|1$30001|2$30002|2$30003|2$30004|2$30005|1$40001|2$40002|2$40003|2$40004|2$40005|1$50001|1$60001|1$70001|1</v>
      </c>
      <c r="T44">
        <v>9</v>
      </c>
      <c r="U44">
        <v>1</v>
      </c>
      <c r="V44">
        <v>2</v>
      </c>
      <c r="W44">
        <v>2</v>
      </c>
      <c r="X44">
        <v>2</v>
      </c>
      <c r="Y44">
        <v>2</v>
      </c>
      <c r="Z44">
        <v>1</v>
      </c>
      <c r="AA44">
        <v>2</v>
      </c>
      <c r="AB44">
        <v>2</v>
      </c>
      <c r="AC44">
        <v>2</v>
      </c>
      <c r="AD44">
        <v>2</v>
      </c>
      <c r="AE44">
        <v>1</v>
      </c>
      <c r="AF44">
        <v>2</v>
      </c>
      <c r="AG44">
        <v>2</v>
      </c>
      <c r="AH44">
        <v>2</v>
      </c>
      <c r="AI44">
        <v>2</v>
      </c>
      <c r="AJ44">
        <v>1</v>
      </c>
      <c r="AK44">
        <v>1</v>
      </c>
      <c r="AL44">
        <v>1</v>
      </c>
      <c r="AM44">
        <v>1</v>
      </c>
      <c r="AN44" s="13">
        <v>42</v>
      </c>
      <c r="AO44">
        <f t="shared" si="3"/>
        <v>40</v>
      </c>
    </row>
    <row r="45" ht="99.75" customHeight="1" spans="1:43">
      <c r="A45">
        <v>43</v>
      </c>
      <c r="B45" t="str">
        <f t="shared" si="0"/>
        <v>50001|5$60001|5$10006|13</v>
      </c>
      <c r="C45">
        <v>5</v>
      </c>
      <c r="D45">
        <v>5</v>
      </c>
      <c r="E45">
        <v>13</v>
      </c>
      <c r="F45" s="12" t="str">
        <f t="shared" si="2"/>
        <v>|||||建筑等级上限+1|弟子数量+3||</v>
      </c>
      <c r="M45" t="s">
        <v>224</v>
      </c>
      <c r="N45" t="s">
        <v>225</v>
      </c>
      <c r="R45" s="12" t="str">
        <f t="shared" si="1"/>
        <v>10001|9$10006|1$20001|2$20002|2$20003|2$20004|2$20005|1$30001|2$30002|2$30003|2$30004|2$30005|1$40001|2$40002|2$40003|2$40004|2$40005|1$50001|1$60001|1$70001|1</v>
      </c>
      <c r="T45">
        <v>9</v>
      </c>
      <c r="U45">
        <v>1</v>
      </c>
      <c r="V45">
        <v>2</v>
      </c>
      <c r="W45">
        <v>2</v>
      </c>
      <c r="X45">
        <v>2</v>
      </c>
      <c r="Y45">
        <v>2</v>
      </c>
      <c r="Z45">
        <v>1</v>
      </c>
      <c r="AA45">
        <v>2</v>
      </c>
      <c r="AB45">
        <v>2</v>
      </c>
      <c r="AC45">
        <v>2</v>
      </c>
      <c r="AD45">
        <v>2</v>
      </c>
      <c r="AE45">
        <v>1</v>
      </c>
      <c r="AF45">
        <v>2</v>
      </c>
      <c r="AG45">
        <v>2</v>
      </c>
      <c r="AH45">
        <v>2</v>
      </c>
      <c r="AI45">
        <v>2</v>
      </c>
      <c r="AJ45">
        <v>1</v>
      </c>
      <c r="AK45">
        <v>1</v>
      </c>
      <c r="AL45">
        <v>1</v>
      </c>
      <c r="AM45">
        <v>1</v>
      </c>
      <c r="AN45" s="13">
        <v>43</v>
      </c>
      <c r="AO45">
        <f t="shared" si="3"/>
        <v>40</v>
      </c>
    </row>
    <row r="46" ht="99.75" customHeight="1" spans="1:43">
      <c r="A46">
        <v>44</v>
      </c>
      <c r="B46" t="str">
        <f t="shared" si="0"/>
        <v>50001|5$60001|5$10006|14</v>
      </c>
      <c r="C46">
        <v>5</v>
      </c>
      <c r="D46">
        <v>5</v>
      </c>
      <c r="E46">
        <v>14</v>
      </c>
      <c r="F46" s="12" t="str">
        <f t="shared" si="2"/>
        <v>可建造十四级炼丹房|||||建筑等级上限+1|弟子数量+3||</v>
      </c>
      <c r="H46" t="s">
        <v>292</v>
      </c>
      <c r="M46" t="s">
        <v>224</v>
      </c>
      <c r="N46" t="s">
        <v>225</v>
      </c>
      <c r="R46" s="12" t="str">
        <f t="shared" si="1"/>
        <v>10001|9$10006|1$20001|2$20002|2$20003|2$20004|2$20005|1$30001|2$30002|2$30003|2$30004|2$30005|1$40001|2$40002|2$40003|2$40004|2$40005|1$50001|1$60001|1$70001|1</v>
      </c>
      <c r="T46">
        <v>9</v>
      </c>
      <c r="U46">
        <v>1</v>
      </c>
      <c r="V46">
        <v>2</v>
      </c>
      <c r="W46">
        <v>2</v>
      </c>
      <c r="X46">
        <v>2</v>
      </c>
      <c r="Y46">
        <v>2</v>
      </c>
      <c r="Z46">
        <v>1</v>
      </c>
      <c r="AA46">
        <v>2</v>
      </c>
      <c r="AB46">
        <v>2</v>
      </c>
      <c r="AC46">
        <v>2</v>
      </c>
      <c r="AD46">
        <v>2</v>
      </c>
      <c r="AE46">
        <v>1</v>
      </c>
      <c r="AF46">
        <v>2</v>
      </c>
      <c r="AG46">
        <v>2</v>
      </c>
      <c r="AH46">
        <v>2</v>
      </c>
      <c r="AI46">
        <v>2</v>
      </c>
      <c r="AJ46">
        <v>1</v>
      </c>
      <c r="AK46">
        <v>1</v>
      </c>
      <c r="AL46">
        <v>1</v>
      </c>
      <c r="AM46">
        <v>1</v>
      </c>
      <c r="AN46" s="13">
        <v>44</v>
      </c>
      <c r="AO46">
        <f t="shared" si="3"/>
        <v>40</v>
      </c>
    </row>
    <row r="47" ht="99.75" customHeight="1" spans="1:43">
      <c r="A47">
        <v>45</v>
      </c>
      <c r="B47" t="str">
        <f t="shared" si="0"/>
        <v>50001|5$60001|5$10006|14</v>
      </c>
      <c r="C47">
        <v>5</v>
      </c>
      <c r="D47">
        <v>5</v>
      </c>
      <c r="E47">
        <v>14</v>
      </c>
      <c r="F47" s="12" t="str">
        <f t="shared" si="2"/>
        <v>|||||建筑等级上限+1|弟子数量+3||</v>
      </c>
      <c r="M47" t="s">
        <v>224</v>
      </c>
      <c r="N47" t="s">
        <v>225</v>
      </c>
      <c r="R47" s="12" t="str">
        <f t="shared" si="1"/>
        <v>10001|9$10006|1$20001|2$20002|2$20003|2$20004|2$20005|1$30001|2$30002|2$30003|2$30004|2$30005|1$40001|2$40002|2$40003|2$40004|2$40005|1$50001|1$60001|1$70001|1</v>
      </c>
      <c r="T47">
        <v>9</v>
      </c>
      <c r="U47">
        <v>1</v>
      </c>
      <c r="V47">
        <v>2</v>
      </c>
      <c r="W47">
        <v>2</v>
      </c>
      <c r="X47">
        <v>2</v>
      </c>
      <c r="Y47">
        <v>2</v>
      </c>
      <c r="Z47">
        <v>1</v>
      </c>
      <c r="AA47">
        <v>2</v>
      </c>
      <c r="AB47">
        <v>2</v>
      </c>
      <c r="AC47">
        <v>2</v>
      </c>
      <c r="AD47">
        <v>2</v>
      </c>
      <c r="AE47">
        <v>1</v>
      </c>
      <c r="AF47">
        <v>2</v>
      </c>
      <c r="AG47">
        <v>2</v>
      </c>
      <c r="AH47">
        <v>2</v>
      </c>
      <c r="AI47">
        <v>2</v>
      </c>
      <c r="AJ47">
        <v>1</v>
      </c>
      <c r="AK47">
        <v>1</v>
      </c>
      <c r="AL47">
        <v>1</v>
      </c>
      <c r="AM47">
        <v>1</v>
      </c>
      <c r="AN47" s="13">
        <v>45</v>
      </c>
      <c r="AO47">
        <f t="shared" si="3"/>
        <v>40</v>
      </c>
    </row>
    <row r="48" ht="99.75" customHeight="1" spans="1:43">
      <c r="A48">
        <v>46</v>
      </c>
      <c r="B48" t="str">
        <f t="shared" si="0"/>
        <v>50001|5$60001|5$10006|14</v>
      </c>
      <c r="C48">
        <v>5</v>
      </c>
      <c r="D48">
        <v>5</v>
      </c>
      <c r="E48">
        <v>14</v>
      </c>
      <c r="F48" s="12" t="str">
        <f t="shared" si="2"/>
        <v>|解锁更多空地||天级矿场上限+1|灵田上限+1|建筑等级上限+1|弟子数量+3|天级灵树上限+1|天级藏经阁上限+1</v>
      </c>
      <c r="I48" t="s">
        <v>229</v>
      </c>
      <c r="K48" t="s">
        <v>293</v>
      </c>
      <c r="L48" t="s">
        <v>223</v>
      </c>
      <c r="M48" t="s">
        <v>224</v>
      </c>
      <c r="N48" t="s">
        <v>225</v>
      </c>
      <c r="O48" t="s">
        <v>294</v>
      </c>
      <c r="P48" t="s">
        <v>295</v>
      </c>
      <c r="R48" s="12" t="str">
        <f t="shared" si="1"/>
        <v>10001|10$10006|1$20001|2$20002|2$20003|2$20004|2$20005|2$30001|2$30002|2$30003|2$30004|2$30005|2$40001|2$40002|2$40003|2$40004|2$40005|2$50001|1$60001|1$70001|1</v>
      </c>
      <c r="T48">
        <v>10</v>
      </c>
      <c r="U48">
        <v>1</v>
      </c>
      <c r="V48">
        <v>2</v>
      </c>
      <c r="W48">
        <v>2</v>
      </c>
      <c r="X48">
        <v>2</v>
      </c>
      <c r="Y48">
        <v>2</v>
      </c>
      <c r="Z48">
        <v>2</v>
      </c>
      <c r="AA48">
        <v>2</v>
      </c>
      <c r="AB48">
        <v>2</v>
      </c>
      <c r="AC48">
        <v>2</v>
      </c>
      <c r="AD48">
        <v>2</v>
      </c>
      <c r="AE48">
        <v>2</v>
      </c>
      <c r="AF48">
        <v>2</v>
      </c>
      <c r="AG48">
        <v>2</v>
      </c>
      <c r="AH48">
        <v>2</v>
      </c>
      <c r="AI48">
        <v>2</v>
      </c>
      <c r="AJ48">
        <v>2</v>
      </c>
      <c r="AK48">
        <v>1</v>
      </c>
      <c r="AL48">
        <v>1</v>
      </c>
      <c r="AM48">
        <v>1</v>
      </c>
      <c r="AN48" s="13">
        <v>46</v>
      </c>
      <c r="AO48">
        <f t="shared" si="3"/>
        <v>44</v>
      </c>
    </row>
    <row r="49" ht="99.75" customHeight="1" spans="1:41">
      <c r="A49">
        <v>47</v>
      </c>
      <c r="B49" t="str">
        <f t="shared" si="0"/>
        <v>50001|5$60001|5$10006|15</v>
      </c>
      <c r="C49">
        <v>5</v>
      </c>
      <c r="D49">
        <v>5</v>
      </c>
      <c r="E49">
        <v>15</v>
      </c>
      <c r="F49" s="12" t="str">
        <f t="shared" si="2"/>
        <v>可建造十五级炼丹房|||||建筑等级上限+1|弟子数量+3||</v>
      </c>
      <c r="H49" t="s">
        <v>296</v>
      </c>
      <c r="M49" t="s">
        <v>224</v>
      </c>
      <c r="N49" t="s">
        <v>225</v>
      </c>
      <c r="R49" s="12" t="str">
        <f t="shared" si="1"/>
        <v>10001|10$10006|1$20001|2$20002|2$20003|2$20004|2$20005|2$30001|2$30002|2$30003|2$30004|2$30005|2$40001|2$40002|2$40003|2$40004|2$40005|2$50001|1$60001|1$70001|1</v>
      </c>
      <c r="T49">
        <v>10</v>
      </c>
      <c r="U49">
        <v>1</v>
      </c>
      <c r="V49">
        <v>2</v>
      </c>
      <c r="W49">
        <v>2</v>
      </c>
      <c r="X49">
        <v>2</v>
      </c>
      <c r="Y49">
        <v>2</v>
      </c>
      <c r="Z49">
        <v>2</v>
      </c>
      <c r="AA49">
        <v>2</v>
      </c>
      <c r="AB49">
        <v>2</v>
      </c>
      <c r="AC49">
        <v>2</v>
      </c>
      <c r="AD49">
        <v>2</v>
      </c>
      <c r="AE49">
        <v>2</v>
      </c>
      <c r="AF49">
        <v>2</v>
      </c>
      <c r="AG49">
        <v>2</v>
      </c>
      <c r="AH49">
        <v>2</v>
      </c>
      <c r="AI49">
        <v>2</v>
      </c>
      <c r="AJ49">
        <v>2</v>
      </c>
      <c r="AK49">
        <v>1</v>
      </c>
      <c r="AL49">
        <v>1</v>
      </c>
      <c r="AM49">
        <v>1</v>
      </c>
      <c r="AN49" s="13">
        <v>47</v>
      </c>
      <c r="AO49">
        <f t="shared" si="3"/>
        <v>44</v>
      </c>
    </row>
    <row r="50" ht="99.75" customHeight="1" spans="1:41">
      <c r="A50">
        <v>48</v>
      </c>
      <c r="B50" t="str">
        <f t="shared" si="0"/>
        <v>50001|5$60001|5$10006|15</v>
      </c>
      <c r="C50">
        <v>5</v>
      </c>
      <c r="D50">
        <v>5</v>
      </c>
      <c r="E50">
        <v>15</v>
      </c>
      <c r="F50" s="12" t="str">
        <f t="shared" si="2"/>
        <v>|||||建筑等级上限+1|弟子数量+3||</v>
      </c>
      <c r="M50" t="s">
        <v>224</v>
      </c>
      <c r="N50" t="s">
        <v>225</v>
      </c>
      <c r="R50" s="12" t="str">
        <f t="shared" si="1"/>
        <v>10001|10$10006|1$20001|2$20002|2$20003|2$20004|2$20005|2$30001|2$30002|2$30003|2$30004|2$30005|2$40001|2$40002|2$40003|2$40004|2$40005|2$50001|1$60001|1$70001|1</v>
      </c>
      <c r="T50">
        <v>10</v>
      </c>
      <c r="U50">
        <v>1</v>
      </c>
      <c r="V50">
        <v>2</v>
      </c>
      <c r="W50">
        <v>2</v>
      </c>
      <c r="X50">
        <v>2</v>
      </c>
      <c r="Y50">
        <v>2</v>
      </c>
      <c r="Z50">
        <v>2</v>
      </c>
      <c r="AA50">
        <v>2</v>
      </c>
      <c r="AB50">
        <v>2</v>
      </c>
      <c r="AC50">
        <v>2</v>
      </c>
      <c r="AD50">
        <v>2</v>
      </c>
      <c r="AE50">
        <v>2</v>
      </c>
      <c r="AF50">
        <v>2</v>
      </c>
      <c r="AG50">
        <v>2</v>
      </c>
      <c r="AH50">
        <v>2</v>
      </c>
      <c r="AI50">
        <v>2</v>
      </c>
      <c r="AJ50">
        <v>2</v>
      </c>
      <c r="AK50">
        <v>1</v>
      </c>
      <c r="AL50">
        <v>1</v>
      </c>
      <c r="AM50">
        <v>1</v>
      </c>
      <c r="AN50" s="13">
        <v>48</v>
      </c>
      <c r="AO50">
        <f t="shared" si="3"/>
        <v>44</v>
      </c>
    </row>
    <row r="51" ht="99.75" customHeight="1" spans="1:41">
      <c r="A51">
        <v>49</v>
      </c>
      <c r="B51" t="str">
        <f t="shared" si="0"/>
        <v>50001|5$60001|5$10006|15</v>
      </c>
      <c r="C51">
        <v>5</v>
      </c>
      <c r="D51">
        <v>5</v>
      </c>
      <c r="E51">
        <v>15</v>
      </c>
      <c r="F51" s="12" t="str">
        <f t="shared" si="2"/>
        <v>|||||建筑等级上限+1|弟子数量+3||</v>
      </c>
      <c r="M51" t="s">
        <v>224</v>
      </c>
      <c r="N51" t="s">
        <v>225</v>
      </c>
      <c r="R51" s="12" t="str">
        <f t="shared" si="1"/>
        <v>10001|10$10006|1$20001|2$20002|2$20003|2$20004|2$20005|2$30001|2$30002|2$30003|2$30004|2$30005|2$40001|2$40002|2$40003|2$40004|2$40005|2$50001|1$60001|1$70001|1</v>
      </c>
      <c r="T51">
        <v>10</v>
      </c>
      <c r="U51">
        <v>1</v>
      </c>
      <c r="V51">
        <v>2</v>
      </c>
      <c r="W51">
        <v>2</v>
      </c>
      <c r="X51">
        <v>2</v>
      </c>
      <c r="Y51">
        <v>2</v>
      </c>
      <c r="Z51">
        <v>2</v>
      </c>
      <c r="AA51">
        <v>2</v>
      </c>
      <c r="AB51">
        <v>2</v>
      </c>
      <c r="AC51">
        <v>2</v>
      </c>
      <c r="AD51">
        <v>2</v>
      </c>
      <c r="AE51">
        <v>2</v>
      </c>
      <c r="AF51">
        <v>2</v>
      </c>
      <c r="AG51">
        <v>2</v>
      </c>
      <c r="AH51">
        <v>2</v>
      </c>
      <c r="AI51">
        <v>2</v>
      </c>
      <c r="AJ51">
        <v>2</v>
      </c>
      <c r="AK51">
        <v>1</v>
      </c>
      <c r="AL51">
        <v>1</v>
      </c>
      <c r="AM51">
        <v>1</v>
      </c>
      <c r="AN51" s="13">
        <v>49</v>
      </c>
      <c r="AO51">
        <f t="shared" si="3"/>
        <v>44</v>
      </c>
    </row>
    <row r="52" ht="99.75" customHeight="1" spans="1:41">
      <c r="A52">
        <v>50</v>
      </c>
      <c r="B52" t="str">
        <f t="shared" si="0"/>
        <v>50001|5$60001|5$10006|15</v>
      </c>
      <c r="C52">
        <v>5</v>
      </c>
      <c r="D52">
        <v>5</v>
      </c>
      <c r="E52">
        <v>15</v>
      </c>
      <c r="F52" s="12" t="str">
        <f t="shared" si="2"/>
        <v>|||||建筑等级上限+1|弟子数量+3||</v>
      </c>
      <c r="M52" t="s">
        <v>224</v>
      </c>
      <c r="N52" t="s">
        <v>225</v>
      </c>
      <c r="R52" s="12" t="str">
        <f t="shared" si="1"/>
        <v>10001|10$10006|1$20001|2$20002|2$20003|2$20004|2$20005|2$30001|2$30002|2$30003|2$30004|2$30005|2$40001|2$40002|2$40003|2$40004|2$40005|2$50001|1$60001|1$70001|1</v>
      </c>
      <c r="T52">
        <v>10</v>
      </c>
      <c r="U52">
        <v>1</v>
      </c>
      <c r="V52">
        <v>2</v>
      </c>
      <c r="W52">
        <v>2</v>
      </c>
      <c r="X52">
        <v>2</v>
      </c>
      <c r="Y52">
        <v>2</v>
      </c>
      <c r="Z52">
        <v>2</v>
      </c>
      <c r="AA52">
        <v>2</v>
      </c>
      <c r="AB52">
        <v>2</v>
      </c>
      <c r="AC52">
        <v>2</v>
      </c>
      <c r="AD52">
        <v>2</v>
      </c>
      <c r="AE52">
        <v>2</v>
      </c>
      <c r="AF52">
        <v>2</v>
      </c>
      <c r="AG52">
        <v>2</v>
      </c>
      <c r="AH52">
        <v>2</v>
      </c>
      <c r="AI52">
        <v>2</v>
      </c>
      <c r="AJ52">
        <v>2</v>
      </c>
      <c r="AK52">
        <v>1</v>
      </c>
      <c r="AL52">
        <v>1</v>
      </c>
      <c r="AM52">
        <v>1</v>
      </c>
      <c r="AN52" s="13">
        <v>50</v>
      </c>
      <c r="AO52">
        <f t="shared" si="3"/>
        <v>44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2"/>
  <sheetViews>
    <sheetView zoomScale="115" zoomScaleNormal="115" workbookViewId="0">
      <selection activeCell="I9" sqref="I9"/>
    </sheetView>
  </sheetViews>
  <sheetFormatPr defaultColWidth="9" defaultRowHeight="14.25"/>
  <cols>
    <col min="1" max="8" width="9" style="1" customWidth="1"/>
    <col min="9" max="9" width="22.25" style="1" customWidth="1"/>
    <col min="10" max="16384" width="9" style="1" customWidth="1"/>
  </cols>
  <sheetData>
    <row r="1" ht="17.25" customHeight="1" spans="1:21">
      <c r="B1" s="2" t="s">
        <v>297</v>
      </c>
      <c r="K1" s="3" t="s">
        <v>298</v>
      </c>
      <c r="L1" s="4" t="s">
        <v>299</v>
      </c>
      <c r="M1" s="4" t="s">
        <v>300</v>
      </c>
      <c r="N1" s="5" t="s">
        <v>301</v>
      </c>
      <c r="O1" s="5" t="s">
        <v>302</v>
      </c>
      <c r="Q1" s="1">
        <v>171001</v>
      </c>
      <c r="R1" s="1">
        <v>172001</v>
      </c>
      <c r="S1" s="1">
        <v>173001</v>
      </c>
      <c r="T1" s="1">
        <v>174001</v>
      </c>
      <c r="U1" s="1">
        <v>175001</v>
      </c>
    </row>
    <row r="2" spans="1:21">
      <c r="A2" s="6" t="s">
        <v>303</v>
      </c>
      <c r="B2" s="6" t="s">
        <v>304</v>
      </c>
      <c r="C2" s="6"/>
      <c r="D2" s="6" t="s">
        <v>305</v>
      </c>
      <c r="E2" s="6" t="s">
        <v>306</v>
      </c>
      <c r="K2" s="5" t="s">
        <v>307</v>
      </c>
      <c r="L2" s="5" t="s">
        <v>308</v>
      </c>
      <c r="M2" s="5" t="s">
        <v>309</v>
      </c>
      <c r="N2" s="5" t="s">
        <v>310</v>
      </c>
      <c r="O2" s="5" t="s">
        <v>311</v>
      </c>
      <c r="Q2" s="1">
        <v>1</v>
      </c>
      <c r="R2" s="1">
        <v>1</v>
      </c>
      <c r="S2" s="1">
        <v>1</v>
      </c>
      <c r="T2" s="1">
        <v>1</v>
      </c>
      <c r="U2" s="1">
        <v>1</v>
      </c>
    </row>
    <row r="3" spans="1:21">
      <c r="A3" s="7">
        <v>1000</v>
      </c>
      <c r="B3" s="6">
        <v>2</v>
      </c>
      <c r="C3" s="7"/>
      <c r="D3" s="7">
        <v>1</v>
      </c>
      <c r="E3" s="8">
        <f t="shared" ref="E3:E52" si="0">$A$3*POWER(D3,$B$3)</f>
        <v>1000</v>
      </c>
    </row>
    <row r="4" spans="1:21">
      <c r="D4" s="1">
        <v>2</v>
      </c>
      <c r="E4" s="8">
        <f t="shared" si="0"/>
        <v>4000</v>
      </c>
    </row>
    <row r="5" spans="1:21">
      <c r="D5" s="7">
        <v>3</v>
      </c>
      <c r="E5" s="8">
        <f t="shared" si="0"/>
        <v>9000</v>
      </c>
    </row>
    <row r="6" spans="1:21">
      <c r="D6" s="1">
        <v>4</v>
      </c>
      <c r="E6" s="8">
        <f t="shared" si="0"/>
        <v>16000</v>
      </c>
    </row>
    <row r="7" spans="1:21">
      <c r="D7" s="7">
        <v>5</v>
      </c>
      <c r="E7" s="8">
        <f t="shared" si="0"/>
        <v>25000</v>
      </c>
      <c r="J7" s="9">
        <v>10</v>
      </c>
      <c r="K7" s="1" t="str">
        <f t="shared" ref="K7:K12" si="1">$K$2&amp;"|"&amp;J7</f>
        <v>161001|10</v>
      </c>
    </row>
    <row r="8" spans="1:21">
      <c r="D8" s="1">
        <v>6</v>
      </c>
      <c r="E8" s="8">
        <f t="shared" si="0"/>
        <v>36000</v>
      </c>
      <c r="I8" s="1" t="str">
        <f t="shared" ref="I8:I52" si="2">K8&amp;"$"&amp;Q8</f>
        <v>161001|12$</v>
      </c>
      <c r="J8" s="9">
        <v>12</v>
      </c>
      <c r="K8" s="1" t="str">
        <f t="shared" si="1"/>
        <v>161001|12</v>
      </c>
    </row>
    <row r="9" spans="1:21">
      <c r="D9" s="7">
        <v>7</v>
      </c>
      <c r="E9" s="8">
        <f t="shared" si="0"/>
        <v>49000</v>
      </c>
      <c r="I9" s="1" t="str">
        <f t="shared" si="2"/>
        <v>161001|14$</v>
      </c>
      <c r="J9" s="9">
        <v>14</v>
      </c>
      <c r="K9" s="1" t="str">
        <f t="shared" si="1"/>
        <v>161001|14</v>
      </c>
    </row>
    <row r="10" spans="1:21">
      <c r="D10" s="1">
        <v>8</v>
      </c>
      <c r="E10" s="8">
        <f t="shared" si="0"/>
        <v>64000</v>
      </c>
      <c r="I10" s="1" t="str">
        <f t="shared" si="2"/>
        <v>161001|16$</v>
      </c>
      <c r="J10" s="9">
        <v>16</v>
      </c>
      <c r="K10" s="1" t="str">
        <f t="shared" si="1"/>
        <v>161001|16</v>
      </c>
    </row>
    <row r="11" spans="1:21">
      <c r="D11" s="7">
        <v>9</v>
      </c>
      <c r="E11" s="8">
        <f t="shared" si="0"/>
        <v>81000</v>
      </c>
      <c r="I11" s="1" t="str">
        <f t="shared" si="2"/>
        <v>161001|18$</v>
      </c>
      <c r="J11" s="9">
        <v>18</v>
      </c>
      <c r="K11" s="1" t="str">
        <f t="shared" si="1"/>
        <v>161001|18</v>
      </c>
    </row>
    <row r="12" spans="1:21">
      <c r="D12" s="1">
        <v>10</v>
      </c>
      <c r="E12" s="8">
        <f t="shared" si="0"/>
        <v>100000</v>
      </c>
      <c r="F12" s="10">
        <f>SUM(E3:E12)</f>
        <v>385000</v>
      </c>
      <c r="I12" s="1" t="str">
        <f t="shared" si="2"/>
        <v>161001|20$171001|1</v>
      </c>
      <c r="J12" s="9">
        <v>20</v>
      </c>
      <c r="K12" s="1" t="str">
        <f t="shared" si="1"/>
        <v>161001|20</v>
      </c>
      <c r="Q12" s="1" t="str">
        <f>Q1&amp;"|"&amp;Q2</f>
        <v>171001|1</v>
      </c>
    </row>
    <row r="13" spans="1:21">
      <c r="D13" s="7">
        <v>11</v>
      </c>
      <c r="E13" s="8">
        <f t="shared" si="0"/>
        <v>121000</v>
      </c>
      <c r="I13" s="1" t="str">
        <f t="shared" si="2"/>
        <v>162001|22$</v>
      </c>
      <c r="J13" s="9">
        <v>22</v>
      </c>
      <c r="K13" s="1" t="str">
        <f t="shared" ref="K13:K22" si="3">$L$2&amp;"|"&amp;J13</f>
        <v>162001|22</v>
      </c>
    </row>
    <row r="14" spans="1:21">
      <c r="D14" s="1">
        <v>12</v>
      </c>
      <c r="E14" s="8">
        <f t="shared" si="0"/>
        <v>144000</v>
      </c>
      <c r="I14" s="1" t="str">
        <f t="shared" si="2"/>
        <v>162001|24$</v>
      </c>
      <c r="J14" s="9">
        <v>24</v>
      </c>
      <c r="K14" s="1" t="str">
        <f t="shared" si="3"/>
        <v>162001|24</v>
      </c>
    </row>
    <row r="15" spans="1:21">
      <c r="D15" s="7">
        <v>13</v>
      </c>
      <c r="E15" s="8">
        <f t="shared" si="0"/>
        <v>169000</v>
      </c>
      <c r="I15" s="1" t="str">
        <f t="shared" si="2"/>
        <v>162001|26$</v>
      </c>
      <c r="J15" s="9">
        <v>26</v>
      </c>
      <c r="K15" s="1" t="str">
        <f t="shared" si="3"/>
        <v>162001|26</v>
      </c>
    </row>
    <row r="16" spans="1:21">
      <c r="D16" s="7">
        <v>14</v>
      </c>
      <c r="E16" s="8">
        <f t="shared" si="0"/>
        <v>196000</v>
      </c>
      <c r="I16" s="1" t="str">
        <f t="shared" si="2"/>
        <v>162001|28$</v>
      </c>
      <c r="J16" s="9">
        <v>28</v>
      </c>
      <c r="K16" s="1" t="str">
        <f t="shared" si="3"/>
        <v>162001|28</v>
      </c>
    </row>
    <row r="17" spans="4:17">
      <c r="D17" s="1">
        <v>15</v>
      </c>
      <c r="E17" s="8">
        <f t="shared" si="0"/>
        <v>225000</v>
      </c>
      <c r="I17" s="1" t="str">
        <f t="shared" si="2"/>
        <v>162001|30$</v>
      </c>
      <c r="J17" s="9">
        <v>30</v>
      </c>
      <c r="K17" s="1" t="str">
        <f t="shared" si="3"/>
        <v>162001|30</v>
      </c>
    </row>
    <row r="18" spans="4:17">
      <c r="D18" s="7">
        <v>16</v>
      </c>
      <c r="E18" s="8">
        <f t="shared" si="0"/>
        <v>256000</v>
      </c>
      <c r="I18" s="1" t="str">
        <f t="shared" si="2"/>
        <v>162001|32$</v>
      </c>
      <c r="J18" s="9">
        <v>32</v>
      </c>
      <c r="K18" s="1" t="str">
        <f t="shared" si="3"/>
        <v>162001|32</v>
      </c>
    </row>
    <row r="19" spans="4:17">
      <c r="D19" s="1">
        <v>17</v>
      </c>
      <c r="E19" s="8">
        <f t="shared" si="0"/>
        <v>289000</v>
      </c>
      <c r="I19" s="1" t="str">
        <f t="shared" si="2"/>
        <v>162001|34$</v>
      </c>
      <c r="J19" s="9">
        <v>34</v>
      </c>
      <c r="K19" s="1" t="str">
        <f t="shared" si="3"/>
        <v>162001|34</v>
      </c>
    </row>
    <row r="20" spans="4:17">
      <c r="D20" s="7">
        <v>18</v>
      </c>
      <c r="E20" s="8">
        <f t="shared" si="0"/>
        <v>324000</v>
      </c>
      <c r="I20" s="1" t="str">
        <f t="shared" si="2"/>
        <v>162001|36$</v>
      </c>
      <c r="J20" s="9">
        <v>36</v>
      </c>
      <c r="K20" s="1" t="str">
        <f t="shared" si="3"/>
        <v>162001|36</v>
      </c>
    </row>
    <row r="21" spans="4:17">
      <c r="D21" s="1">
        <v>19</v>
      </c>
      <c r="E21" s="8">
        <f t="shared" si="0"/>
        <v>361000</v>
      </c>
      <c r="I21" s="1" t="str">
        <f t="shared" si="2"/>
        <v>162001|38$</v>
      </c>
      <c r="J21" s="9">
        <v>38</v>
      </c>
      <c r="K21" s="1" t="str">
        <f t="shared" si="3"/>
        <v>162001|38</v>
      </c>
    </row>
    <row r="22" spans="4:17">
      <c r="D22" s="7">
        <v>20</v>
      </c>
      <c r="E22" s="8">
        <f t="shared" si="0"/>
        <v>400000</v>
      </c>
      <c r="I22" s="1" t="str">
        <f t="shared" si="2"/>
        <v>162001|40$172001|1</v>
      </c>
      <c r="J22" s="9">
        <v>40</v>
      </c>
      <c r="K22" s="1" t="str">
        <f t="shared" si="3"/>
        <v>162001|40</v>
      </c>
      <c r="Q22" s="1" t="str">
        <f>R1&amp;"|"&amp;R2</f>
        <v>172001|1</v>
      </c>
    </row>
    <row r="23" spans="4:17">
      <c r="D23" s="1">
        <v>21</v>
      </c>
      <c r="E23" s="8">
        <f t="shared" si="0"/>
        <v>441000</v>
      </c>
      <c r="I23" s="1" t="str">
        <f t="shared" si="2"/>
        <v>163001|42$</v>
      </c>
      <c r="J23" s="9">
        <v>42</v>
      </c>
      <c r="K23" s="1" t="str">
        <f t="shared" ref="K23:K32" si="4">$M$2&amp;"|"&amp;J23</f>
        <v>163001|42</v>
      </c>
    </row>
    <row r="24" spans="4:17">
      <c r="D24" s="1">
        <v>22</v>
      </c>
      <c r="E24" s="8">
        <f t="shared" si="0"/>
        <v>484000</v>
      </c>
      <c r="I24" s="1" t="str">
        <f t="shared" si="2"/>
        <v>163001|44$</v>
      </c>
      <c r="J24" s="9">
        <v>44</v>
      </c>
      <c r="K24" s="1" t="str">
        <f t="shared" si="4"/>
        <v>163001|44</v>
      </c>
    </row>
    <row r="25" spans="4:17">
      <c r="D25" s="7">
        <v>23</v>
      </c>
      <c r="E25" s="8">
        <f t="shared" si="0"/>
        <v>529000</v>
      </c>
      <c r="I25" s="1" t="str">
        <f t="shared" si="2"/>
        <v>163001|46$</v>
      </c>
      <c r="J25" s="9">
        <v>46</v>
      </c>
      <c r="K25" s="1" t="str">
        <f t="shared" si="4"/>
        <v>163001|46</v>
      </c>
    </row>
    <row r="26" spans="4:17">
      <c r="D26" s="1">
        <v>24</v>
      </c>
      <c r="E26" s="8">
        <f t="shared" si="0"/>
        <v>576000</v>
      </c>
      <c r="I26" s="1" t="str">
        <f t="shared" si="2"/>
        <v>163001|48$</v>
      </c>
      <c r="J26" s="9">
        <v>48</v>
      </c>
      <c r="K26" s="1" t="str">
        <f t="shared" si="4"/>
        <v>163001|48</v>
      </c>
    </row>
    <row r="27" spans="4:17">
      <c r="D27" s="1">
        <v>25</v>
      </c>
      <c r="E27" s="8">
        <f t="shared" si="0"/>
        <v>625000</v>
      </c>
      <c r="I27" s="1" t="str">
        <f t="shared" si="2"/>
        <v>163001|50$</v>
      </c>
      <c r="J27" s="9">
        <v>50</v>
      </c>
      <c r="K27" s="1" t="str">
        <f t="shared" si="4"/>
        <v>163001|50</v>
      </c>
    </row>
    <row r="28" spans="4:17">
      <c r="D28" s="7">
        <v>26</v>
      </c>
      <c r="E28" s="8">
        <f t="shared" si="0"/>
        <v>676000</v>
      </c>
      <c r="I28" s="1" t="str">
        <f t="shared" si="2"/>
        <v>163001|52$</v>
      </c>
      <c r="J28" s="9">
        <v>52</v>
      </c>
      <c r="K28" s="1" t="str">
        <f t="shared" si="4"/>
        <v>163001|52</v>
      </c>
    </row>
    <row r="29" spans="4:17">
      <c r="D29" s="1">
        <v>27</v>
      </c>
      <c r="E29" s="8">
        <f t="shared" si="0"/>
        <v>729000</v>
      </c>
      <c r="I29" s="1" t="str">
        <f t="shared" si="2"/>
        <v>163001|54$</v>
      </c>
      <c r="J29" s="9">
        <v>54</v>
      </c>
      <c r="K29" s="1" t="str">
        <f t="shared" si="4"/>
        <v>163001|54</v>
      </c>
    </row>
    <row r="30" spans="4:17">
      <c r="D30" s="1">
        <v>28</v>
      </c>
      <c r="E30" s="8">
        <f t="shared" si="0"/>
        <v>784000</v>
      </c>
      <c r="I30" s="1" t="str">
        <f t="shared" si="2"/>
        <v>163001|56$</v>
      </c>
      <c r="J30" s="9">
        <v>56</v>
      </c>
      <c r="K30" s="1" t="str">
        <f t="shared" si="4"/>
        <v>163001|56</v>
      </c>
    </row>
    <row r="31" spans="4:17">
      <c r="D31" s="7">
        <v>29</v>
      </c>
      <c r="E31" s="8">
        <f t="shared" si="0"/>
        <v>841000</v>
      </c>
      <c r="I31" s="1" t="str">
        <f t="shared" si="2"/>
        <v>163001|58$</v>
      </c>
      <c r="J31" s="9">
        <v>58</v>
      </c>
      <c r="K31" s="1" t="str">
        <f t="shared" si="4"/>
        <v>163001|58</v>
      </c>
    </row>
    <row r="32" spans="4:17">
      <c r="D32" s="1">
        <v>30</v>
      </c>
      <c r="E32" s="8">
        <f t="shared" si="0"/>
        <v>900000</v>
      </c>
      <c r="I32" s="1" t="str">
        <f t="shared" si="2"/>
        <v>163001|60$173001|1</v>
      </c>
      <c r="J32" s="9">
        <v>60</v>
      </c>
      <c r="K32" s="1" t="str">
        <f t="shared" si="4"/>
        <v>163001|60</v>
      </c>
      <c r="Q32" s="1" t="str">
        <f>S1&amp;"|"&amp;S2</f>
        <v>173001|1</v>
      </c>
    </row>
    <row r="33" spans="4:17">
      <c r="D33" s="1">
        <v>31</v>
      </c>
      <c r="E33" s="8">
        <f t="shared" si="0"/>
        <v>961000</v>
      </c>
      <c r="I33" s="1" t="str">
        <f t="shared" si="2"/>
        <v>164001|62$</v>
      </c>
      <c r="J33" s="9">
        <v>62</v>
      </c>
      <c r="K33" s="1" t="str">
        <f t="shared" ref="K33:K42" si="5">$N$2&amp;"|"&amp;J33</f>
        <v>164001|62</v>
      </c>
    </row>
    <row r="34" spans="4:17">
      <c r="D34" s="7">
        <v>32</v>
      </c>
      <c r="E34" s="8">
        <f t="shared" si="0"/>
        <v>1024000</v>
      </c>
      <c r="I34" s="1" t="str">
        <f t="shared" si="2"/>
        <v>164001|64$</v>
      </c>
      <c r="J34" s="9">
        <v>64</v>
      </c>
      <c r="K34" s="1" t="str">
        <f t="shared" si="5"/>
        <v>164001|64</v>
      </c>
    </row>
    <row r="35" spans="4:17">
      <c r="D35" s="1">
        <v>33</v>
      </c>
      <c r="E35" s="8">
        <f t="shared" si="0"/>
        <v>1089000</v>
      </c>
      <c r="I35" s="1" t="str">
        <f t="shared" si="2"/>
        <v>164001|66$</v>
      </c>
      <c r="J35" s="9">
        <v>66</v>
      </c>
      <c r="K35" s="1" t="str">
        <f t="shared" si="5"/>
        <v>164001|66</v>
      </c>
    </row>
    <row r="36" spans="4:17">
      <c r="D36" s="1">
        <v>34</v>
      </c>
      <c r="E36" s="8">
        <f t="shared" si="0"/>
        <v>1156000</v>
      </c>
      <c r="I36" s="1" t="str">
        <f t="shared" si="2"/>
        <v>164001|68$</v>
      </c>
      <c r="J36" s="9">
        <v>68</v>
      </c>
      <c r="K36" s="1" t="str">
        <f t="shared" si="5"/>
        <v>164001|68</v>
      </c>
    </row>
    <row r="37" spans="4:17">
      <c r="D37" s="7">
        <v>35</v>
      </c>
      <c r="E37" s="8">
        <f t="shared" si="0"/>
        <v>1225000</v>
      </c>
      <c r="I37" s="1" t="str">
        <f t="shared" si="2"/>
        <v>164001|70$</v>
      </c>
      <c r="J37" s="9">
        <v>70</v>
      </c>
      <c r="K37" s="1" t="str">
        <f t="shared" si="5"/>
        <v>164001|70</v>
      </c>
    </row>
    <row r="38" spans="4:17">
      <c r="D38" s="1">
        <v>36</v>
      </c>
      <c r="E38" s="8">
        <f t="shared" si="0"/>
        <v>1296000</v>
      </c>
      <c r="I38" s="1" t="str">
        <f t="shared" si="2"/>
        <v>164001|72$</v>
      </c>
      <c r="J38" s="9">
        <v>72</v>
      </c>
      <c r="K38" s="1" t="str">
        <f t="shared" si="5"/>
        <v>164001|72</v>
      </c>
    </row>
    <row r="39" spans="4:17">
      <c r="D39" s="1">
        <v>37</v>
      </c>
      <c r="E39" s="8">
        <f t="shared" si="0"/>
        <v>1369000</v>
      </c>
      <c r="I39" s="1" t="str">
        <f t="shared" si="2"/>
        <v>164001|74$</v>
      </c>
      <c r="J39" s="9">
        <v>74</v>
      </c>
      <c r="K39" s="1" t="str">
        <f t="shared" si="5"/>
        <v>164001|74</v>
      </c>
    </row>
    <row r="40" spans="4:17">
      <c r="D40" s="7">
        <v>38</v>
      </c>
      <c r="E40" s="8">
        <f t="shared" si="0"/>
        <v>1444000</v>
      </c>
      <c r="I40" s="1" t="str">
        <f t="shared" si="2"/>
        <v>164001|76$</v>
      </c>
      <c r="J40" s="9">
        <v>76</v>
      </c>
      <c r="K40" s="1" t="str">
        <f t="shared" si="5"/>
        <v>164001|76</v>
      </c>
    </row>
    <row r="41" spans="4:17">
      <c r="D41" s="1">
        <v>39</v>
      </c>
      <c r="E41" s="8">
        <f t="shared" si="0"/>
        <v>1521000</v>
      </c>
      <c r="I41" s="1" t="str">
        <f t="shared" si="2"/>
        <v>164001|78$</v>
      </c>
      <c r="J41" s="9">
        <v>78</v>
      </c>
      <c r="K41" s="1" t="str">
        <f t="shared" si="5"/>
        <v>164001|78</v>
      </c>
    </row>
    <row r="42" spans="4:17">
      <c r="D42" s="1">
        <v>40</v>
      </c>
      <c r="E42" s="8">
        <f t="shared" si="0"/>
        <v>1600000</v>
      </c>
      <c r="I42" s="1" t="str">
        <f t="shared" si="2"/>
        <v>164001|80$174001|1</v>
      </c>
      <c r="J42" s="9">
        <v>80</v>
      </c>
      <c r="K42" s="1" t="str">
        <f t="shared" si="5"/>
        <v>164001|80</v>
      </c>
      <c r="Q42" s="1" t="str">
        <f>T1&amp;"|"&amp;T2</f>
        <v>174001|1</v>
      </c>
    </row>
    <row r="43" spans="4:17">
      <c r="D43" s="1">
        <v>41</v>
      </c>
      <c r="E43" s="8">
        <f t="shared" si="0"/>
        <v>1681000</v>
      </c>
      <c r="I43" s="1" t="str">
        <f t="shared" si="2"/>
        <v>165001|82$</v>
      </c>
      <c r="J43" s="9">
        <v>82</v>
      </c>
      <c r="K43" s="1" t="str">
        <f t="shared" ref="K43:K52" si="6">$O$2&amp;"|"&amp;J43</f>
        <v>165001|82</v>
      </c>
    </row>
    <row r="44" spans="4:17">
      <c r="D44" s="7">
        <v>42</v>
      </c>
      <c r="E44" s="8">
        <f t="shared" si="0"/>
        <v>1764000</v>
      </c>
      <c r="I44" s="1" t="str">
        <f t="shared" si="2"/>
        <v>165001|84$</v>
      </c>
      <c r="J44" s="9">
        <v>84</v>
      </c>
      <c r="K44" s="1" t="str">
        <f t="shared" si="6"/>
        <v>165001|84</v>
      </c>
    </row>
    <row r="45" spans="4:17">
      <c r="D45" s="1">
        <v>43</v>
      </c>
      <c r="E45" s="8">
        <f t="shared" si="0"/>
        <v>1849000</v>
      </c>
      <c r="I45" s="1" t="str">
        <f t="shared" si="2"/>
        <v>165001|86$</v>
      </c>
      <c r="J45" s="9">
        <v>86</v>
      </c>
      <c r="K45" s="1" t="str">
        <f t="shared" si="6"/>
        <v>165001|86</v>
      </c>
    </row>
    <row r="46" spans="4:17">
      <c r="D46" s="1">
        <v>44</v>
      </c>
      <c r="E46" s="8">
        <f t="shared" si="0"/>
        <v>1936000</v>
      </c>
      <c r="I46" s="1" t="str">
        <f t="shared" si="2"/>
        <v>165001|88$</v>
      </c>
      <c r="J46" s="9">
        <v>88</v>
      </c>
      <c r="K46" s="1" t="str">
        <f t="shared" si="6"/>
        <v>165001|88</v>
      </c>
    </row>
    <row r="47" spans="4:17">
      <c r="D47" s="1">
        <v>45</v>
      </c>
      <c r="E47" s="8">
        <f t="shared" si="0"/>
        <v>2025000</v>
      </c>
      <c r="I47" s="1" t="str">
        <f t="shared" si="2"/>
        <v>165001|90$</v>
      </c>
      <c r="J47" s="9">
        <v>90</v>
      </c>
      <c r="K47" s="1" t="str">
        <f t="shared" si="6"/>
        <v>165001|90</v>
      </c>
    </row>
    <row r="48" spans="4:17">
      <c r="D48" s="7">
        <v>46</v>
      </c>
      <c r="E48" s="8">
        <f t="shared" si="0"/>
        <v>2116000</v>
      </c>
      <c r="I48" s="1" t="str">
        <f t="shared" si="2"/>
        <v>165001|92$</v>
      </c>
      <c r="J48" s="9">
        <v>92</v>
      </c>
      <c r="K48" s="1" t="str">
        <f t="shared" si="6"/>
        <v>165001|92</v>
      </c>
    </row>
    <row r="49" spans="4:17">
      <c r="D49" s="1">
        <v>47</v>
      </c>
      <c r="E49" s="8">
        <f t="shared" si="0"/>
        <v>2209000</v>
      </c>
      <c r="I49" s="1" t="str">
        <f t="shared" si="2"/>
        <v>165001|94$</v>
      </c>
      <c r="J49" s="9">
        <v>94</v>
      </c>
      <c r="K49" s="1" t="str">
        <f t="shared" si="6"/>
        <v>165001|94</v>
      </c>
    </row>
    <row r="50" spans="4:17">
      <c r="D50" s="1">
        <v>48</v>
      </c>
      <c r="E50" s="8">
        <f t="shared" si="0"/>
        <v>2304000</v>
      </c>
      <c r="I50" s="1" t="str">
        <f t="shared" si="2"/>
        <v>165001|96$</v>
      </c>
      <c r="J50" s="9">
        <v>96</v>
      </c>
      <c r="K50" s="1" t="str">
        <f t="shared" si="6"/>
        <v>165001|96</v>
      </c>
    </row>
    <row r="51" spans="4:17">
      <c r="D51" s="1">
        <v>49</v>
      </c>
      <c r="E51" s="8">
        <f t="shared" si="0"/>
        <v>2401000</v>
      </c>
      <c r="I51" s="1" t="str">
        <f t="shared" si="2"/>
        <v>165001|98$</v>
      </c>
      <c r="J51" s="9">
        <v>98</v>
      </c>
      <c r="K51" s="1" t="str">
        <f t="shared" si="6"/>
        <v>165001|98</v>
      </c>
    </row>
    <row r="52" ht="28.5" customHeight="1" spans="4:17">
      <c r="D52" s="7">
        <v>50</v>
      </c>
      <c r="E52" s="8">
        <f t="shared" si="0"/>
        <v>2500000</v>
      </c>
      <c r="I52" s="1" t="str">
        <f t="shared" si="2"/>
        <v>165001|100$175001|1</v>
      </c>
      <c r="J52" s="9">
        <v>100</v>
      </c>
      <c r="K52" s="1" t="str">
        <f t="shared" si="6"/>
        <v>165001|100</v>
      </c>
      <c r="Q52" s="1" t="str">
        <f>U1&amp;"|"&amp;U2</f>
        <v>175001|1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解锁功能</vt:lpstr>
      <vt:lpstr>消耗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毛绒绒</cp:lastModifiedBy>
  <dcterms:created xsi:type="dcterms:W3CDTF">2015-06-05T18:19:00Z</dcterms:created>
  <dcterms:modified xsi:type="dcterms:W3CDTF">2026-01-26T03:59:17Z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5C29BEE5505F4F83B2CA2BC2ED185D87_12</vt:lpwstr>
  </property>
  <property fmtid="{D5CDD505-2E9C-101B-9397-08002B2CF9AE}" pid="4" name="CalculationRule">
    <vt:i4>0</vt:i4>
  </property>
</Properties>
</file>