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145" windowHeight="106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解锁功能" sheetId="2" state="visible" r:id="rId2"/>
    <sheet xmlns:r="http://schemas.openxmlformats.org/officeDocument/2006/relationships" name="消耗" sheetId="3" state="visible" r:id="rId3"/>
    <sheet xmlns:r="http://schemas.openxmlformats.org/officeDocument/2006/relationships" name="Sheet2" sheetId="4" state="visible" r:id="rId4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_);[Red]\(0\)"/>
  </numFmts>
  <fonts count="24">
    <font>
      <name val="等线"/>
      <charset val="134"/>
      <color theme="1"/>
      <sz val="11"/>
      <scheme val="minor"/>
    </font>
    <font>
      <name val="Arial"/>
      <charset val="134"/>
      <color rgb="FF333333"/>
      <sz val="12"/>
    </font>
    <font>
      <name val="Microsoft YaHei"/>
      <charset val="134"/>
      <color rgb="FF000000"/>
      <sz val="12"/>
    </font>
    <font>
      <name val="Arial"/>
      <charset val="134"/>
      <color rgb="FF000000"/>
      <sz val="10"/>
    </font>
    <font>
      <name val="等线"/>
      <charset val="134"/>
      <color rgb="FF000000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164" fontId="4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topLeftCell="A3" workbookViewId="0">
      <selection activeCell="C3" sqref="C3"/>
    </sheetView>
  </sheetViews>
  <sheetFormatPr baseColWidth="8" defaultColWidth="9" defaultRowHeight="14.25"/>
  <cols>
    <col width="9" customWidth="1" style="15" min="1" max="1"/>
    <col width="16.5" customWidth="1" style="15" min="2" max="2"/>
    <col width="56.75" customWidth="1" style="15" min="3" max="3"/>
    <col width="24.75" customWidth="1" style="15" min="4" max="4"/>
    <col width="9" customWidth="1" style="15" min="5" max="5"/>
    <col width="10.5" customWidth="1" style="15" min="6" max="6"/>
    <col width="30" customWidth="1" style="15" min="7" max="7"/>
    <col width="9" customWidth="1" style="15" min="8" max="8"/>
    <col width="26.125" customWidth="1" style="15" min="9" max="9"/>
    <col width="15.625" customWidth="1" style="15" min="10" max="10"/>
    <col width="9" customWidth="1" style="15" min="11" max="16384"/>
  </cols>
  <sheetData>
    <row r="1" ht="28.5" customHeight="1">
      <c r="A1" t="inlineStr">
        <is>
          <t>##var</t>
        </is>
      </c>
      <c r="B1" t="inlineStr">
        <is>
          <t>id</t>
        </is>
      </c>
      <c r="C1" t="inlineStr">
        <is>
          <t>cost</t>
        </is>
      </c>
      <c r="D1" t="inlineStr">
        <is>
          <t>unlockDes</t>
        </is>
      </c>
      <c r="E1" t="inlineStr">
        <is>
          <t>costTime</t>
        </is>
      </c>
      <c r="F1" t="inlineStr">
        <is>
          <t>rent</t>
        </is>
      </c>
      <c r="G1" t="inlineStr">
        <is>
          <t>unlockedBuilding</t>
        </is>
      </c>
      <c r="H1" t="inlineStr">
        <is>
          <t>farmNumLimit</t>
        </is>
      </c>
      <c r="I1" t="inlineStr">
        <is>
          <t>tiliLimit</t>
        </is>
      </c>
      <c r="J1" t="inlineStr">
        <is>
          <t>specialFarmLevelLimit</t>
        </is>
      </c>
      <c r="K1" t="inlineStr">
        <is>
          <t>specialMatNeed</t>
        </is>
      </c>
    </row>
    <row r="2" ht="99.7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 ht="99.75" customHeight="1">
      <c r="A3" t="inlineStr">
        <is>
          <t>##</t>
        </is>
      </c>
      <c r="B3" s="15" t="inlineStr">
        <is>
          <t>id</t>
        </is>
      </c>
      <c r="C3" s="15" t="inlineStr">
        <is>
          <t>cost</t>
        </is>
      </c>
      <c r="D3" s="15" t="inlineStr">
        <is>
          <t>unlockDes</t>
        </is>
      </c>
      <c r="E3" s="15" t="inlineStr">
        <is>
          <t>costTime</t>
        </is>
      </c>
      <c r="F3" s="15" t="inlineStr">
        <is>
          <t>rent</t>
        </is>
      </c>
      <c r="G3" s="15" t="inlineStr">
        <is>
          <t>unlockedBuilding</t>
        </is>
      </c>
      <c r="H3" s="15" t="inlineStr">
        <is>
          <t>farmNumLimit</t>
        </is>
      </c>
      <c r="I3" s="15" t="inlineStr">
        <is>
          <t>tiliLimit</t>
        </is>
      </c>
      <c r="J3" s="15" t="inlineStr">
        <is>
          <t>specialFarmLevelLimit</t>
        </is>
      </c>
      <c r="K3" s="15" t="inlineStr">
        <is>
          <t>specialMatNeed</t>
        </is>
      </c>
    </row>
    <row r="4" ht="99.75" customHeight="1">
      <c r="B4" s="15" t="n">
        <v>1</v>
      </c>
      <c r="C4" s="15" t="n">
        <v>1000</v>
      </c>
      <c r="E4" s="15" t="n">
        <v>7</v>
      </c>
      <c r="F4" s="15" t="n">
        <v>0</v>
      </c>
      <c r="G4" s="15" t="inlineStr">
        <is>
          <t>10001|4$10006|4$20001|4$20002|4$20003|4$20004|4$20005|4$30001|4$30002|4$30003|4$30004|4$30005|4$40001|4$40002|4$40003|4$40004|4$40005|4$50001|4$60001|4$70001|4</t>
        </is>
      </c>
      <c r="H4" s="15" t="n">
        <v>4</v>
      </c>
      <c r="I4" s="15" t="inlineStr">
        <is>
          <t>10</t>
        </is>
      </c>
      <c r="J4" t="inlineStr">
        <is>
          <t>50001|1$60001|0$10006|1</t>
        </is>
      </c>
    </row>
    <row r="5" ht="99.75" customHeight="1">
      <c r="B5" s="15" t="n">
        <v>2</v>
      </c>
      <c r="C5" s="15" t="n">
        <v>4000</v>
      </c>
      <c r="D5" s="15" t="inlineStr">
        <is>
          <t>|||体力上限+10||市场上限+1|建筑等级上限+1|随从数量+3|可以建造基础矿坑|</t>
        </is>
      </c>
      <c r="E5" s="15" t="n">
        <v>7</v>
      </c>
      <c r="F5" s="15" t="inlineStr">
        <is>
          <t>100</t>
        </is>
      </c>
      <c r="G5" s="15" t="inlineStr">
        <is>
          <t>10001|4$10006|4$20001|4$20002|4$20003|4$20004|4$20005|4$30001|4$30002|4$30003|4$30004|4$30005|4$40001|4$40002|4$40003|4$40004|4$40005|4$50001|4$60001|4$70001|4</t>
        </is>
      </c>
      <c r="H5" s="15" t="n">
        <v>4</v>
      </c>
      <c r="I5" s="15" t="inlineStr">
        <is>
          <t>20</t>
        </is>
      </c>
      <c r="J5" t="inlineStr">
        <is>
          <t>50001|1$60001|1$10006|1</t>
        </is>
      </c>
    </row>
    <row r="6" ht="99.75" customHeight="1">
      <c r="B6" s="15" t="n">
        <v>3</v>
      </c>
      <c r="C6" s="15" t="n">
        <v>9000</v>
      </c>
      <c r="D6" s="15" t="inlineStr">
        <is>
          <t>||体力上限+10|解锁更多空地|建筑等级上限+1|随从数量+3|可以建造铁匠铺|</t>
        </is>
      </c>
      <c r="E6" s="15" t="n">
        <v>7</v>
      </c>
      <c r="F6" s="15" t="inlineStr">
        <is>
          <t>170</t>
        </is>
      </c>
      <c r="G6" s="15" t="inlineStr">
        <is>
          <t>10001|4$10006|4$20001|4$20002|4$20003|4$20004|4$20005|4$30001|4$30002|4$30003|4$30004|4$30005|4$40001|4$40002|4$40003|4$40004|4$40005|4$50001|4$60001|4$70001|4</t>
        </is>
      </c>
      <c r="H6" s="15" t="n">
        <v>5</v>
      </c>
      <c r="I6" s="15" t="inlineStr">
        <is>
          <t>30</t>
        </is>
      </c>
      <c r="J6" t="inlineStr">
        <is>
          <t>50001|1$60001|1$10006|1</t>
        </is>
      </c>
    </row>
    <row r="7" ht="99.75" customHeight="1">
      <c r="B7" s="15" t="n">
        <v>4</v>
      </c>
      <c r="C7" s="15" t="n">
        <v>16000</v>
      </c>
      <c r="D7" s="15" t="inlineStr">
        <is>
          <t>可建造二级炼金房||体力上限+10|解锁更多空地|可以建造萤光草圃|建筑等级上限+1|随从数量+3|可以建造炼金房|</t>
        </is>
      </c>
      <c r="E7" s="15" t="n">
        <v>7</v>
      </c>
      <c r="F7" s="15" t="inlineStr">
        <is>
          <t>240</t>
        </is>
      </c>
      <c r="G7" s="15" t="inlineStr">
        <is>
          <t>10001|4$10006|4$20001|4$20002|4$20003|4$20004|4$20005|4$30001|4$30002|4$30003|4$30004|4$30005|4$40001|4$40002|4$40003|4$40004|4$40005|4$50001|4$60001|4$70001|4</t>
        </is>
      </c>
      <c r="H7" s="15" t="n">
        <v>7</v>
      </c>
      <c r="I7" s="15" t="inlineStr">
        <is>
          <t>40</t>
        </is>
      </c>
      <c r="J7" t="inlineStr">
        <is>
          <t xml:space="preserve">50001|1$60001|1$10006|  </t>
        </is>
      </c>
    </row>
    <row r="8" ht="99.75" customHeight="1">
      <c r="B8" s="15" t="n">
        <v>5</v>
      </c>
      <c r="C8" s="15" t="n">
        <v>25000</v>
      </c>
      <c r="D8" s="15" t="inlineStr">
        <is>
          <t>|可以建造宝石工坊|体力上限+10||解锁更多空地|建筑等级上限+1|随从数量+3|可以建造档案馆|</t>
        </is>
      </c>
      <c r="E8" s="15" t="n">
        <v>7</v>
      </c>
      <c r="F8" s="15" t="inlineStr">
        <is>
          <t>310</t>
        </is>
      </c>
      <c r="G8" s="15" t="inlineStr">
        <is>
          <t>10001|4$10006|4$20001|4$20002|4$20003|4$20004|4$20005|4$30001|4$30002|4$30003|4$30004|4$30005|4$40001|4$40002|4$40003|4$40004|4$40005|4$50001|4$60001|4$70001|4</t>
        </is>
      </c>
      <c r="H8" s="15" t="n">
        <v>9</v>
      </c>
      <c r="I8" s="15" t="inlineStr">
        <is>
          <t>50</t>
        </is>
      </c>
      <c r="J8" t="inlineStr">
        <is>
          <t>50001|1$60001|1$10006|2</t>
        </is>
      </c>
    </row>
    <row r="9" ht="99.75" customHeight="1">
      <c r="B9" s="15" t="n">
        <v>6</v>
      </c>
      <c r="C9" s="15" t="n">
        <v>36000</v>
      </c>
      <c r="D9" s="15" t="inlineStr">
        <is>
          <t>||体力上限+10||基础矿坑上限+1|建筑等级上限+1|随从数量+3||</t>
        </is>
      </c>
      <c r="E9" s="15" t="n">
        <v>7</v>
      </c>
      <c r="F9" s="15" t="inlineStr">
        <is>
          <t>380</t>
        </is>
      </c>
      <c r="G9" s="15" t="inlineStr">
        <is>
          <t>10001|4$10006|4$20001|4$20002|4$20003|4$20004|4$20005|4$30001|4$30002|4$30003|4$30004|4$30005|4$40001|4$40002|4$40003|4$40004|4$40005|4$50001|4$60001|4$70001|4</t>
        </is>
      </c>
      <c r="H9" s="15" t="n">
        <v>10</v>
      </c>
      <c r="I9" s="15" t="inlineStr">
        <is>
          <t>60</t>
        </is>
      </c>
      <c r="J9" t="inlineStr">
        <is>
          <t>50001|1$60001|1$10006|2</t>
        </is>
      </c>
      <c r="K9" s="15" t="inlineStr">
        <is>
          <t>161001|12$</t>
        </is>
      </c>
    </row>
    <row r="10" ht="99.75" customHeight="1">
      <c r="B10" s="15" t="n">
        <v>7</v>
      </c>
      <c r="C10" s="15" t="n">
        <v>49000</v>
      </c>
      <c r="D10" s="15" t="inlineStr">
        <is>
          <t>可建造三级炼金房||体力上限+10|解锁更多空地|基础萤光草圃上限+1|建筑等级上限+1|随从数量+3||</t>
        </is>
      </c>
      <c r="E10" s="15" t="n">
        <v>7</v>
      </c>
      <c r="F10" s="15" t="inlineStr">
        <is>
          <t>450</t>
        </is>
      </c>
      <c r="G10" s="15" t="inlineStr">
        <is>
          <t>10001|4$10006|4$20001|4$20002|4$20003|4$20004|4$20005|4$30001|4$30002|4$30003|4$30004|4$30005|4$40001|4$40002|4$40003|4$40004|4$40005|4$50001|4$60001|4$70001|4</t>
        </is>
      </c>
      <c r="H10" s="15" t="n">
        <v>11</v>
      </c>
      <c r="I10" s="15" t="inlineStr">
        <is>
          <t>70</t>
        </is>
      </c>
      <c r="J10" t="inlineStr">
        <is>
          <t>50001|1$60001|1$10006|3</t>
        </is>
      </c>
      <c r="K10" s="15" t="inlineStr">
        <is>
          <t>161001|14$</t>
        </is>
      </c>
    </row>
    <row r="11" ht="99.75" customHeight="1">
      <c r="B11" s="15" t="n">
        <v>8</v>
      </c>
      <c r="C11" s="15" t="n">
        <v>64000</v>
      </c>
      <c r="D11" s="15" t="inlineStr">
        <is>
          <t>||体力上限+10|||建筑等级上限+1|随从数量+3||</t>
        </is>
      </c>
      <c r="E11" s="15" t="n">
        <v>7</v>
      </c>
      <c r="F11" s="15" t="inlineStr">
        <is>
          <t>520</t>
        </is>
      </c>
      <c r="G11" s="15" t="inlineStr">
        <is>
          <t>10001|4$10006|4$20001|4$20002|4$20003|4$20004|4$20005|4$30001|4$30002|4$30003|4$30004|4$30005|4$40001|4$40002|4$40003|4$40004|4$40005|4$50001|4$60001|4$70001|4</t>
        </is>
      </c>
      <c r="H11" s="15" t="n">
        <v>11</v>
      </c>
      <c r="I11" s="15" t="inlineStr">
        <is>
          <t>80</t>
        </is>
      </c>
      <c r="J11" t="inlineStr">
        <is>
          <t>50001|1$60001|1$10006|3</t>
        </is>
      </c>
      <c r="K11" s="15" t="inlineStr">
        <is>
          <t>161001|16$</t>
        </is>
      </c>
    </row>
    <row r="12" ht="99.75" customHeight="1">
      <c r="B12" s="15" t="n">
        <v>9</v>
      </c>
      <c r="C12" s="15" t="n">
        <v>81000</v>
      </c>
      <c r="D12" s="15" t="inlineStr">
        <is>
          <t>||体力上限+10|||建筑等级上限+1|随从数量+3||</t>
        </is>
      </c>
      <c r="E12" s="15" t="n">
        <v>7</v>
      </c>
      <c r="F12" s="15" t="inlineStr">
        <is>
          <t>590</t>
        </is>
      </c>
      <c r="G12" s="15" t="inlineStr">
        <is>
          <t>10001|4$10006|4$20001|4$20002|4$20003|4$20004|4$20005|4$30001|4$30002|4$30003|4$30004|4$30005|4$40001|4$40002|4$40003|4$40004|4$40005|4$50001|4$60001|4$70001|4</t>
        </is>
      </c>
      <c r="H12" s="15" t="n">
        <v>11</v>
      </c>
      <c r="I12" s="15" t="inlineStr">
        <is>
          <t>90</t>
        </is>
      </c>
      <c r="J12" t="inlineStr">
        <is>
          <t>50001|1$60001|1$10006|3</t>
        </is>
      </c>
      <c r="K12" s="15" t="inlineStr">
        <is>
          <t>161001|18$</t>
        </is>
      </c>
    </row>
    <row r="13" ht="99.75" customHeight="1">
      <c r="B13" s="15" t="n">
        <v>10</v>
      </c>
      <c r="C13" s="15" t="n">
        <v>100000</v>
      </c>
      <c r="D13" s="15" t="inlineStr">
        <is>
          <t>||体力上限+10|||建筑等级上限+1|随从数量+3||</t>
        </is>
      </c>
      <c r="E13" s="15" t="n">
        <v>7</v>
      </c>
      <c r="F13" s="15" t="inlineStr">
        <is>
          <t>660</t>
        </is>
      </c>
      <c r="G13" s="15" t="inlineStr">
        <is>
          <t>10001|4$10006|4$20001|4$20002|4$20003|4$20004|4$20005|4$30001|4$30002|4$30003|4$30004|4$30005|4$40001|4$40002|4$40003|4$40004|4$40005|4$50001|4$60001|4$70001|4</t>
        </is>
      </c>
      <c r="H13" s="15" t="n">
        <v>11</v>
      </c>
      <c r="I13" s="15" t="inlineStr">
        <is>
          <t>100</t>
        </is>
      </c>
      <c r="J13" t="inlineStr">
        <is>
          <t>50001|1$60001|1$10006|3</t>
        </is>
      </c>
      <c r="K13" s="5" t="inlineStr">
        <is>
          <t>161001|20$171001|1</t>
        </is>
      </c>
    </row>
    <row r="14" ht="99.75" customHeight="1">
      <c r="B14" s="15" t="n">
        <v>11</v>
      </c>
      <c r="C14" s="15" t="n">
        <v>121000</v>
      </c>
      <c r="D14" s="15" t="inlineStr">
        <is>
          <t>可建造四级炼金房|可建造二级铁匠铺|体力上限+10|可以建造高级矿坑|解锁更多空地|建筑等级上限+1|随从数量+3|可以建造高级萤光草圃|可以建造高级档案馆</t>
        </is>
      </c>
      <c r="E14" s="15" t="n">
        <v>7</v>
      </c>
      <c r="F14" s="15" t="inlineStr">
        <is>
          <t>730</t>
        </is>
      </c>
      <c r="G14" s="15" t="inlineStr">
        <is>
          <t>10001|4$10006|4$20001|4$20002|4$20003|4$20004|4$20005|4$30001|4$30002|4$30003|4$30004|4$30005|4$40001|4$40002|4$40003|4$40004|4$40005|4$50001|4$60001|4$70001|4</t>
        </is>
      </c>
      <c r="H14" s="15" t="n">
        <v>14</v>
      </c>
      <c r="I14" s="15" t="inlineStr">
        <is>
          <t>110</t>
        </is>
      </c>
      <c r="J14" s="15" t="inlineStr">
        <is>
          <t>50001|2$60001|2$10006|4</t>
        </is>
      </c>
      <c r="K14" s="15" t="inlineStr">
        <is>
          <t>162001|22$</t>
        </is>
      </c>
    </row>
    <row r="15" ht="99.75" customHeight="1">
      <c r="B15" s="15" t="n">
        <v>12</v>
      </c>
      <c r="C15" s="15" t="n">
        <v>144000</v>
      </c>
      <c r="D15" s="15" t="inlineStr">
        <is>
          <t>||体力上限+10||市场上限+1|建筑等级上限+1|随从数量+3||</t>
        </is>
      </c>
      <c r="E15" s="15" t="n">
        <v>7</v>
      </c>
      <c r="F15" s="15" t="inlineStr">
        <is>
          <t>800</t>
        </is>
      </c>
      <c r="G15" s="15" t="inlineStr">
        <is>
          <t>10001|4$10006|4$20001|4$20002|4$20003|4$20004|4$20005|4$30001|4$30002|4$30003|4$30004|4$30005|4$40001|4$40002|4$40003|4$40004|4$40005|4$50001|4$60001|4$70001|4</t>
        </is>
      </c>
      <c r="H15" s="15" t="n">
        <v>15</v>
      </c>
      <c r="I15" s="15" t="inlineStr">
        <is>
          <t>120</t>
        </is>
      </c>
      <c r="J15" s="15" t="inlineStr">
        <is>
          <t>50001|2$60001|2$10006|4</t>
        </is>
      </c>
      <c r="K15" s="15" t="inlineStr">
        <is>
          <t>162001|24$</t>
        </is>
      </c>
    </row>
    <row r="16" ht="99.75" customHeight="1">
      <c r="B16" s="15" t="n">
        <v>13</v>
      </c>
      <c r="C16" s="15" t="n">
        <v>169000</v>
      </c>
      <c r="D16" s="15" t="inlineStr">
        <is>
          <t>||体力上限+10|||建筑等级上限+1|随从数量+3||</t>
        </is>
      </c>
      <c r="E16" s="15" t="n">
        <v>7</v>
      </c>
      <c r="F16" s="15" t="inlineStr">
        <is>
          <t>870</t>
        </is>
      </c>
      <c r="G16" s="15" t="inlineStr">
        <is>
          <t>10001|4$10006|4$20001|4$20002|4$20003|4$20004|4$20005|4$30001|4$30002|4$30003|4$30004|4$30005|4$40001|4$40002|4$40003|4$40004|4$40005|4$50001|4$60001|4$70001|4</t>
        </is>
      </c>
      <c r="H16" s="15" t="n">
        <v>15</v>
      </c>
      <c r="I16" s="15" t="inlineStr">
        <is>
          <t>130</t>
        </is>
      </c>
      <c r="J16" s="15" t="inlineStr">
        <is>
          <t>50001|2$60001|2$10006|4</t>
        </is>
      </c>
      <c r="K16" s="15" t="inlineStr">
        <is>
          <t>162001|26$</t>
        </is>
      </c>
    </row>
    <row r="17" ht="99.75" customHeight="1">
      <c r="B17" s="15" t="n">
        <v>14</v>
      </c>
      <c r="C17" s="15" t="n">
        <v>196000</v>
      </c>
      <c r="D17" s="15" t="inlineStr">
        <is>
          <t>可建造五级炼金房||体力上限+10|||建筑等级上限+1|随从数量+3||</t>
        </is>
      </c>
      <c r="E17" s="15" t="n">
        <v>7</v>
      </c>
      <c r="F17" s="15" t="inlineStr">
        <is>
          <t>940</t>
        </is>
      </c>
      <c r="G17" s="15" t="inlineStr">
        <is>
          <t>10001|4$10006|4$20001|4$20002|4$20003|4$20004|4$20005|4$30001|4$30002|4$30003|4$30004|4$30005|4$40001|4$40002|4$40003|4$40004|4$40005|4$50001|4$60001|4$70001|4</t>
        </is>
      </c>
      <c r="H17" s="15" t="n">
        <v>15</v>
      </c>
      <c r="I17" s="15" t="inlineStr">
        <is>
          <t>140</t>
        </is>
      </c>
      <c r="J17" s="15" t="inlineStr">
        <is>
          <t>50001|2$60001|2$10006|5</t>
        </is>
      </c>
      <c r="K17" s="15" t="inlineStr">
        <is>
          <t>162001|28$</t>
        </is>
      </c>
    </row>
    <row r="18" ht="99.75" customHeight="1">
      <c r="B18" s="15" t="n">
        <v>15</v>
      </c>
      <c r="C18" s="15" t="n">
        <v>225000</v>
      </c>
      <c r="D18" s="15" t="inlineStr">
        <is>
          <t>||体力上限+10|||建筑等级上限+1|随从数量+3||</t>
        </is>
      </c>
      <c r="E18" s="15" t="n">
        <v>7</v>
      </c>
      <c r="F18" s="15" t="inlineStr">
        <is>
          <t>1010</t>
        </is>
      </c>
      <c r="G18" s="15" t="inlineStr">
        <is>
          <t>10001|4$10006|4$20001|4$20002|4$20003|4$20004|4$20005|4$30001|4$30002|4$30003|4$30004|4$30005|4$40001|4$40002|4$40003|4$40004|4$40005|4$50001|4$60001|4$70001|4</t>
        </is>
      </c>
      <c r="H18" s="15" t="n">
        <v>15</v>
      </c>
      <c r="I18" s="15" t="inlineStr">
        <is>
          <t>150</t>
        </is>
      </c>
      <c r="J18" s="15" t="inlineStr">
        <is>
          <t>50001|2$60001|2$10006|5</t>
        </is>
      </c>
      <c r="K18" s="15" t="inlineStr">
        <is>
          <t>162001|30$</t>
        </is>
      </c>
    </row>
    <row r="19" ht="99.75" customHeight="1">
      <c r="B19" s="15" t="n">
        <v>16</v>
      </c>
      <c r="C19" s="15" t="n">
        <v>256000</v>
      </c>
      <c r="D19" s="15" t="inlineStr">
        <is>
          <t>|解锁更多空地||高级矿坑上限+1|市场上限+1|建筑等级上限+1|随从数量+3|高级萤光草圃上限+1|高级档案馆上限+1</t>
        </is>
      </c>
      <c r="E19" s="15" t="n">
        <v>7</v>
      </c>
      <c r="F19" s="15" t="inlineStr">
        <is>
          <t>1080</t>
        </is>
      </c>
      <c r="G19" s="15" t="inlineStr">
        <is>
          <t>10001|4$10006|4$20001|4$20002|4$20003|4$20004|4$20005|4$30001|4$30002|4$30003|4$30004|4$30005|4$40001|4$40002|4$40003|4$40004|4$40005|4$50001|4$60001|4$70001|4</t>
        </is>
      </c>
      <c r="H19" s="15" t="n">
        <v>20</v>
      </c>
      <c r="I19" s="15" t="inlineStr">
        <is>
          <t>150</t>
        </is>
      </c>
      <c r="J19" s="15" t="inlineStr">
        <is>
          <t>50001|2$60001|2$10006|5</t>
        </is>
      </c>
      <c r="K19" s="15" t="inlineStr">
        <is>
          <t>162001|32$</t>
        </is>
      </c>
    </row>
    <row r="20" ht="99.75" customHeight="1">
      <c r="B20" s="15" t="n">
        <v>17</v>
      </c>
      <c r="C20" s="15" t="n">
        <v>289000</v>
      </c>
      <c r="D20" s="15" t="inlineStr">
        <is>
          <t>可建造六级炼金房|||||建筑等级上限+1|随从数量+3||</t>
        </is>
      </c>
      <c r="E20" s="15" t="n">
        <v>7</v>
      </c>
      <c r="F20" s="15" t="inlineStr">
        <is>
          <t>1150</t>
        </is>
      </c>
      <c r="G20" s="15" t="inlineStr">
        <is>
          <t>10001|4$10006|4$20001|4$20002|4$20003|4$20004|4$20005|4$30001|4$30002|4$30003|4$30004|4$30005|4$40001|4$40002|4$40003|4$40004|4$40005|4$50001|4$60001|4$70001|4</t>
        </is>
      </c>
      <c r="H20" s="15" t="n">
        <v>20</v>
      </c>
      <c r="I20" s="15" t="inlineStr">
        <is>
          <t>150</t>
        </is>
      </c>
      <c r="J20" s="15" t="inlineStr">
        <is>
          <t>50001|2$60001|2$10006|6</t>
        </is>
      </c>
      <c r="K20" s="15" t="inlineStr">
        <is>
          <t>162001|34$</t>
        </is>
      </c>
    </row>
    <row r="21" ht="99.75" customHeight="1">
      <c r="B21" s="15" t="n">
        <v>18</v>
      </c>
      <c r="C21" s="15" t="n">
        <v>324000</v>
      </c>
      <c r="D21" s="15" t="inlineStr">
        <is>
          <t>|||||建筑等级上限+1|随从数量+3||</t>
        </is>
      </c>
      <c r="E21" s="15" t="n">
        <v>7</v>
      </c>
      <c r="F21" s="15" t="inlineStr">
        <is>
          <t>1220</t>
        </is>
      </c>
      <c r="G21" s="15" t="inlineStr">
        <is>
          <t>10001|4$10006|4$20001|4$20002|4$20003|4$20004|4$20005|4$30001|4$30002|4$30003|4$30004|4$30005|4$40001|4$40002|4$40003|4$40004|4$40005|4$50001|4$60001|4$70001|4</t>
        </is>
      </c>
      <c r="H21" s="15" t="n">
        <v>20</v>
      </c>
      <c r="I21" s="15" t="inlineStr">
        <is>
          <t>150</t>
        </is>
      </c>
      <c r="J21" s="15" t="inlineStr">
        <is>
          <t>50001|2$60001|2$10006|6</t>
        </is>
      </c>
      <c r="K21" s="15" t="inlineStr">
        <is>
          <t>162001|36$</t>
        </is>
      </c>
    </row>
    <row r="22" ht="99.75" customHeight="1">
      <c r="B22" s="15" t="n">
        <v>19</v>
      </c>
      <c r="C22" s="15" t="n">
        <v>361000</v>
      </c>
      <c r="D22" s="15" t="inlineStr">
        <is>
          <t>|||||建筑等级上限+1|随从数量+3||</t>
        </is>
      </c>
      <c r="E22" s="15" t="n">
        <v>7</v>
      </c>
      <c r="F22" s="15" t="inlineStr">
        <is>
          <t>1290</t>
        </is>
      </c>
      <c r="G22" s="15" t="inlineStr">
        <is>
          <t>10001|4$10006|4$20001|4$20002|4$20003|4$20004|4$20005|4$30001|4$30002|4$30003|4$30004|4$30005|4$40001|4$40002|4$40003|4$40004|4$40005|4$50001|4$60001|4$70001|4</t>
        </is>
      </c>
      <c r="H22" s="15" t="n">
        <v>20</v>
      </c>
      <c r="I22" s="15" t="inlineStr">
        <is>
          <t>150</t>
        </is>
      </c>
      <c r="J22" s="15" t="inlineStr">
        <is>
          <t>50001|2$60001|2$10006|6</t>
        </is>
      </c>
      <c r="K22" s="15" t="inlineStr">
        <is>
          <t>162001|38$</t>
        </is>
      </c>
    </row>
    <row r="23" ht="99.75" customHeight="1">
      <c r="B23" s="15" t="n">
        <v>20</v>
      </c>
      <c r="C23" s="15" t="n">
        <v>400000</v>
      </c>
      <c r="D23" s="15" t="inlineStr">
        <is>
          <t>|||||建筑等级上限+1|随从数量+3||</t>
        </is>
      </c>
      <c r="E23" s="15" t="n">
        <v>7</v>
      </c>
      <c r="F23" s="15" t="inlineStr">
        <is>
          <t>1360</t>
        </is>
      </c>
      <c r="G23" s="15" t="inlineStr">
        <is>
          <t>10001|4$10006|4$20001|4$20002|4$20003|4$20004|4$20005|4$30001|4$30002|4$30003|4$30004|4$30005|4$40001|4$40002|4$40003|4$40004|4$40005|4$50001|4$60001|4$70001|4</t>
        </is>
      </c>
      <c r="H23" s="15" t="n">
        <v>20</v>
      </c>
      <c r="I23" s="15" t="inlineStr">
        <is>
          <t>150</t>
        </is>
      </c>
      <c r="J23" s="15" t="inlineStr">
        <is>
          <t>50001|2$60001|2$10006|6</t>
        </is>
      </c>
      <c r="K23" s="15" t="inlineStr">
        <is>
          <t>162001|40$172001|1</t>
        </is>
      </c>
    </row>
    <row r="24" ht="99.75" customHeight="1">
      <c r="B24" s="15" t="n">
        <v>21</v>
      </c>
      <c r="C24" s="15" t="n">
        <v>441000</v>
      </c>
      <c r="D24" s="15" t="inlineStr">
        <is>
          <t>可建造七级炼金房|解锁更多空地|可建造三级铁匠铺|可以建造精英矿坑|市场上限+1|建筑等级上限+1|随从数量+3|可以建造精英萤光草圃|可以建造精英档案馆</t>
        </is>
      </c>
      <c r="E24" s="15" t="n">
        <v>7</v>
      </c>
      <c r="F24" s="15" t="inlineStr">
        <is>
          <t>1430</t>
        </is>
      </c>
      <c r="G24" s="15" t="inlineStr">
        <is>
          <t>10001|4$10006|4$20001|4$20002|4$20003|4$20004|4$20005|4$30001|4$30002|4$30003|4$30004|4$30005|4$40001|4$40002|4$40003|4$40004|4$40005|4$50001|4$60001|4$70001|4</t>
        </is>
      </c>
      <c r="H24" s="15" t="n">
        <v>24</v>
      </c>
      <c r="I24" s="15" t="inlineStr">
        <is>
          <t>150</t>
        </is>
      </c>
      <c r="J24" s="15" t="inlineStr">
        <is>
          <t>50001|3$60001|3$10006|7</t>
        </is>
      </c>
      <c r="K24" s="15" t="inlineStr">
        <is>
          <t>163001|42$</t>
        </is>
      </c>
    </row>
    <row r="25" ht="99.75" customHeight="1">
      <c r="B25" s="15" t="n">
        <v>22</v>
      </c>
      <c r="C25" s="15" t="n">
        <v>484000</v>
      </c>
      <c r="D25" s="15" t="inlineStr">
        <is>
          <t>|||||建筑等级上限+1|随从数量+3||</t>
        </is>
      </c>
      <c r="E25" s="15" t="n">
        <v>7</v>
      </c>
      <c r="F25" s="15" t="inlineStr">
        <is>
          <t>1500</t>
        </is>
      </c>
      <c r="G25" s="15" t="inlineStr">
        <is>
          <t>10001|4$10006|4$20001|4$20002|4$20003|4$20004|4$20005|4$30001|4$30002|4$30003|4$30004|4$30005|4$40001|4$40002|4$40003|4$40004|4$40005|4$50001|4$60001|4$70001|4</t>
        </is>
      </c>
      <c r="H25" s="15" t="n">
        <v>24</v>
      </c>
      <c r="I25" s="15" t="inlineStr">
        <is>
          <t>150</t>
        </is>
      </c>
      <c r="J25" s="15" t="inlineStr">
        <is>
          <t>50001|3$60001|3$10006|7</t>
        </is>
      </c>
      <c r="K25" s="15" t="inlineStr">
        <is>
          <t>163001|44$</t>
        </is>
      </c>
    </row>
    <row r="26" ht="99.75" customHeight="1">
      <c r="B26" s="15" t="n">
        <v>23</v>
      </c>
      <c r="C26" s="15" t="n">
        <v>529000</v>
      </c>
      <c r="D26" s="15" t="inlineStr">
        <is>
          <t>|||||建筑等级上限+1|随从数量+3||</t>
        </is>
      </c>
      <c r="E26" s="15" t="n">
        <v>7</v>
      </c>
      <c r="F26" s="15" t="inlineStr">
        <is>
          <t>1570</t>
        </is>
      </c>
      <c r="G26" s="15" t="inlineStr">
        <is>
          <t>10001|4$10006|4$20001|4$20002|4$20003|4$20004|4$20005|4$30001|4$30002|4$30003|4$30004|4$30005|4$40001|4$40002|4$40003|4$40004|4$40005|4$50001|4$60001|4$70001|4</t>
        </is>
      </c>
      <c r="H26" s="15" t="n">
        <v>24</v>
      </c>
      <c r="I26" s="15" t="inlineStr">
        <is>
          <t>150</t>
        </is>
      </c>
      <c r="J26" s="15" t="inlineStr">
        <is>
          <t>50001|3$60001|3$10006|7</t>
        </is>
      </c>
      <c r="K26" s="15" t="inlineStr">
        <is>
          <t>163001|46$</t>
        </is>
      </c>
    </row>
    <row r="27" ht="99.75" customHeight="1">
      <c r="B27" s="15" t="n">
        <v>24</v>
      </c>
      <c r="C27" s="15" t="n">
        <v>576000</v>
      </c>
      <c r="D27" s="15" t="inlineStr">
        <is>
          <t>可建造八级炼金房|||||建筑等级上限+1|随从数量+3||</t>
        </is>
      </c>
      <c r="E27" s="15" t="n">
        <v>7</v>
      </c>
      <c r="F27" s="15" t="inlineStr">
        <is>
          <t>1640</t>
        </is>
      </c>
      <c r="G27" s="15" t="inlineStr">
        <is>
          <t>10001|4$10006|4$20001|4$20002|4$20003|4$20004|4$20005|4$30001|4$30002|4$30003|4$30004|4$30005|4$40001|4$40002|4$40003|4$40004|4$40005|4$50001|4$60001|4$70001|4</t>
        </is>
      </c>
      <c r="H27" s="15" t="n">
        <v>24</v>
      </c>
      <c r="I27" s="15" t="inlineStr">
        <is>
          <t>150</t>
        </is>
      </c>
      <c r="J27" s="15" t="inlineStr">
        <is>
          <t>50001|3$60001|3$10006|8</t>
        </is>
      </c>
      <c r="K27" s="15" t="inlineStr">
        <is>
          <t>163001|48$</t>
        </is>
      </c>
    </row>
    <row r="28" ht="99.75" customHeight="1">
      <c r="B28" s="15" t="n">
        <v>25</v>
      </c>
      <c r="C28" s="15" t="n">
        <v>625000</v>
      </c>
      <c r="D28" s="15" t="inlineStr">
        <is>
          <t>|||||建筑等级上限+1|随从数量+3||</t>
        </is>
      </c>
      <c r="E28" s="15" t="n">
        <v>7</v>
      </c>
      <c r="F28" s="15" t="inlineStr">
        <is>
          <t>1710</t>
        </is>
      </c>
      <c r="G28" s="15" t="inlineStr">
        <is>
          <t>10001|4$10006|4$20001|4$20002|4$20003|4$20004|4$20005|4$30001|4$30002|4$30003|4$30004|4$30005|4$40001|4$40002|4$40003|4$40004|4$40005|4$50001|4$60001|4$70001|4</t>
        </is>
      </c>
      <c r="H28" s="15" t="n">
        <v>24</v>
      </c>
      <c r="I28" s="15" t="inlineStr">
        <is>
          <t>150</t>
        </is>
      </c>
      <c r="J28" s="15" t="inlineStr">
        <is>
          <t>50001|3$60001|3$10006|8</t>
        </is>
      </c>
      <c r="K28" s="15" t="inlineStr">
        <is>
          <t>163001|50$</t>
        </is>
      </c>
    </row>
    <row r="29" ht="99.75" customHeight="1">
      <c r="B29" s="15" t="n">
        <v>26</v>
      </c>
      <c r="C29" s="15" t="n">
        <v>676000</v>
      </c>
      <c r="D29" s="15" t="inlineStr">
        <is>
          <t>|解锁更多空地||精英矿坑上限+1|市场上限+1|建筑等级上限+1|随从数量+3|精英萤光草圃上限+1|精英档案馆上限+1</t>
        </is>
      </c>
      <c r="E29" s="15" t="n">
        <v>7</v>
      </c>
      <c r="F29" s="15" t="inlineStr">
        <is>
          <t>1780</t>
        </is>
      </c>
      <c r="G29" s="15" t="inlineStr">
        <is>
          <t>10001|4$10006|4$20001|4$20002|4$20003|4$20004|4$20005|4$30001|4$30002|4$30003|4$30004|4$30005|4$40001|4$40002|4$40003|4$40004|4$40005|4$50001|4$60001|4$70001|4</t>
        </is>
      </c>
      <c r="H29" s="15" t="n">
        <v>28</v>
      </c>
      <c r="I29" s="15" t="inlineStr">
        <is>
          <t>150</t>
        </is>
      </c>
      <c r="J29" s="15" t="inlineStr">
        <is>
          <t>50001|3$60001|3$10006|8</t>
        </is>
      </c>
      <c r="K29" s="15" t="inlineStr">
        <is>
          <t>163001|52$</t>
        </is>
      </c>
    </row>
    <row r="30" ht="99.75" customHeight="1">
      <c r="B30" s="15" t="n">
        <v>27</v>
      </c>
      <c r="C30" s="15" t="n">
        <v>729000</v>
      </c>
      <c r="D30" s="15" t="inlineStr">
        <is>
          <t>可建造九级炼金房|||||建筑等级上限+1|随从数量+3||</t>
        </is>
      </c>
      <c r="E30" s="15" t="n">
        <v>7</v>
      </c>
      <c r="F30" s="15" t="inlineStr">
        <is>
          <t>1850</t>
        </is>
      </c>
      <c r="G30" s="15" t="inlineStr">
        <is>
          <t>10001|4$10006|4$20001|4$20002|4$20003|4$20004|4$20005|4$30001|4$30002|4$30003|4$30004|4$30005|4$40001|4$40002|4$40003|4$40004|4$40005|4$50001|4$60001|4$70001|4</t>
        </is>
      </c>
      <c r="H30" s="15" t="n">
        <v>28</v>
      </c>
      <c r="I30" s="15" t="inlineStr">
        <is>
          <t>150</t>
        </is>
      </c>
      <c r="J30" s="15" t="inlineStr">
        <is>
          <t>50001|3$60001|3$10006|9</t>
        </is>
      </c>
      <c r="K30" s="15" t="inlineStr">
        <is>
          <t>163001|54$</t>
        </is>
      </c>
    </row>
    <row r="31" ht="99.75" customHeight="1">
      <c r="B31" s="15" t="n">
        <v>28</v>
      </c>
      <c r="C31" s="15" t="n">
        <v>784000</v>
      </c>
      <c r="D31" s="15" t="inlineStr">
        <is>
          <t>|||||建筑等级上限+1|随从数量+3||</t>
        </is>
      </c>
      <c r="E31" s="15" t="n">
        <v>7</v>
      </c>
      <c r="F31" s="15" t="inlineStr">
        <is>
          <t>1920</t>
        </is>
      </c>
      <c r="G31" s="15" t="inlineStr">
        <is>
          <t>10001|4$10006|4$20001|4$20002|4$20003|4$20004|4$20005|4$30001|4$30002|4$30003|4$30004|4$30005|4$40001|4$40002|4$40003|4$40004|4$40005|4$50001|4$60001|4$70001|4</t>
        </is>
      </c>
      <c r="H31" s="15" t="n">
        <v>28</v>
      </c>
      <c r="I31" s="15" t="inlineStr">
        <is>
          <t>150</t>
        </is>
      </c>
      <c r="J31" s="15" t="inlineStr">
        <is>
          <t>50001|3$60001|3$10006|9</t>
        </is>
      </c>
      <c r="K31" s="15" t="inlineStr">
        <is>
          <t>163001|56$</t>
        </is>
      </c>
    </row>
    <row r="32" ht="99.75" customHeight="1">
      <c r="B32" s="15" t="n">
        <v>29</v>
      </c>
      <c r="C32" s="15" t="n">
        <v>841000</v>
      </c>
      <c r="D32" s="15" t="inlineStr">
        <is>
          <t>|||||建筑等级上限+1|随从数量+3||</t>
        </is>
      </c>
      <c r="E32" s="15" t="n">
        <v>7</v>
      </c>
      <c r="F32" s="15" t="inlineStr">
        <is>
          <t>1990</t>
        </is>
      </c>
      <c r="G32" s="15" t="inlineStr">
        <is>
          <t>10001|4$10006|4$20001|4$20002|4$20003|4$20004|4$20005|4$30001|4$30002|4$30003|4$30004|4$30005|4$40001|4$40002|4$40003|4$40004|4$40005|4$50001|4$60001|4$70001|4</t>
        </is>
      </c>
      <c r="H32" s="15" t="n">
        <v>28</v>
      </c>
      <c r="I32" s="15" t="inlineStr">
        <is>
          <t>150</t>
        </is>
      </c>
      <c r="J32" s="15" t="inlineStr">
        <is>
          <t>50001|3$60001|3$10006|9</t>
        </is>
      </c>
      <c r="K32" s="15" t="inlineStr">
        <is>
          <t>163001|58$</t>
        </is>
      </c>
    </row>
    <row r="33" ht="99.75" customHeight="1">
      <c r="B33" s="15" t="n">
        <v>30</v>
      </c>
      <c r="C33" s="15" t="n">
        <v>900000</v>
      </c>
      <c r="D33" s="15" t="inlineStr">
        <is>
          <t>|||||建筑等级上限+1|随从数量+3||</t>
        </is>
      </c>
      <c r="E33" s="15" t="n">
        <v>7</v>
      </c>
      <c r="F33" s="15" t="inlineStr">
        <is>
          <t>2060</t>
        </is>
      </c>
      <c r="G33" s="15" t="inlineStr">
        <is>
          <t>10001|4$10006|4$20001|4$20002|4$20003|4$20004|4$20005|4$30001|4$30002|4$30003|4$30004|4$30005|4$40001|4$40002|4$40003|4$40004|4$40005|4$50001|4$60001|4$70001|4</t>
        </is>
      </c>
      <c r="H33" s="15" t="n">
        <v>28</v>
      </c>
      <c r="I33" s="15" t="inlineStr">
        <is>
          <t>150</t>
        </is>
      </c>
      <c r="J33" s="15" t="inlineStr">
        <is>
          <t>50001|3$60001|3$10006|9</t>
        </is>
      </c>
      <c r="K33" s="15" t="inlineStr">
        <is>
          <t>163001|60$173001|1</t>
        </is>
      </c>
    </row>
    <row r="34" ht="99.75" customHeight="1">
      <c r="B34" s="15" t="n">
        <v>31</v>
      </c>
      <c r="C34" s="15" t="n">
        <v>961000</v>
      </c>
      <c r="D34" s="15" t="inlineStr">
        <is>
          <t>可建造十级炼金房|解锁更多空地|可建造四级铁匠铺|可以建造精英矿坑|市场上限+1|建筑等级上限+1|随从数量+3|可以建造精英萤光草圃|可以建造精英档案馆</t>
        </is>
      </c>
      <c r="E34" s="15" t="n">
        <v>7</v>
      </c>
      <c r="F34" s="15" t="inlineStr">
        <is>
          <t>2130</t>
        </is>
      </c>
      <c r="G34" s="15" t="inlineStr">
        <is>
          <t>10001|4$10006|4$20001|4$20002|4$20003|4$20004|4$20005|4$30001|4$30002|4$30003|4$30004|4$30005|4$40001|4$40002|4$40003|4$40004|4$40005|4$50001|4$60001|4$70001|4</t>
        </is>
      </c>
      <c r="H34" s="15" t="n">
        <v>32</v>
      </c>
      <c r="I34" s="15" t="inlineStr">
        <is>
          <t>150</t>
        </is>
      </c>
      <c r="J34" s="15" t="inlineStr">
        <is>
          <t>50001|4$60001|4$10006|10</t>
        </is>
      </c>
      <c r="K34" s="15" t="inlineStr">
        <is>
          <t>164001|62$</t>
        </is>
      </c>
    </row>
    <row r="35" ht="99.75" customHeight="1">
      <c r="B35" s="15" t="n">
        <v>32</v>
      </c>
      <c r="C35" s="15" t="n">
        <v>1024000</v>
      </c>
      <c r="D35" s="15" t="inlineStr">
        <is>
          <t>|||||建筑等级上限+1|随从数量+3||</t>
        </is>
      </c>
      <c r="E35" s="15" t="n">
        <v>7</v>
      </c>
      <c r="F35" s="15" t="inlineStr">
        <is>
          <t>2200</t>
        </is>
      </c>
      <c r="G35" s="15" t="inlineStr">
        <is>
          <t>10001|4$10006|4$20001|4$20002|4$20003|4$20004|4$20005|4$30001|4$30002|4$30003|4$30004|4$30005|4$40001|4$40002|4$40003|4$40004|4$40005|4$50001|4$60001|4$70001|4</t>
        </is>
      </c>
      <c r="H35" s="15" t="n">
        <v>32</v>
      </c>
      <c r="I35" s="15" t="inlineStr">
        <is>
          <t>150</t>
        </is>
      </c>
      <c r="J35" s="15" t="inlineStr">
        <is>
          <t>50001|4$60001|4$10006|10</t>
        </is>
      </c>
      <c r="K35" s="15" t="inlineStr">
        <is>
          <t>164001|64$</t>
        </is>
      </c>
    </row>
    <row r="36" ht="99.75" customHeight="1">
      <c r="B36" s="15" t="n">
        <v>33</v>
      </c>
      <c r="C36" s="15" t="n">
        <v>1089000</v>
      </c>
      <c r="D36" s="15" t="inlineStr">
        <is>
          <t>|||||建筑等级上限+1|随从数量+3||</t>
        </is>
      </c>
      <c r="E36" s="15" t="n">
        <v>7</v>
      </c>
      <c r="F36" s="15" t="inlineStr">
        <is>
          <t>2270</t>
        </is>
      </c>
      <c r="G36" s="15" t="inlineStr">
        <is>
          <t>10001|4$10006|4$20001|4$20002|4$20003|4$20004|4$20005|4$30001|4$30002|4$30003|4$30004|4$30005|4$40001|4$40002|4$40003|4$40004|4$40005|4$50001|4$60001|4$70001|4</t>
        </is>
      </c>
      <c r="H36" s="15" t="n">
        <v>32</v>
      </c>
      <c r="I36" s="15" t="inlineStr">
        <is>
          <t>150</t>
        </is>
      </c>
      <c r="J36" s="15" t="inlineStr">
        <is>
          <t>50001|4$60001|4$10006|10</t>
        </is>
      </c>
      <c r="K36" s="15" t="inlineStr">
        <is>
          <t>164001|66$</t>
        </is>
      </c>
    </row>
    <row r="37" ht="99.75" customHeight="1">
      <c r="B37" s="15" t="n">
        <v>34</v>
      </c>
      <c r="C37" s="15" t="n">
        <v>1156000</v>
      </c>
      <c r="D37" s="15" t="inlineStr">
        <is>
          <t>可建造十一级炼金房|||||建筑等级上限+1|随从数量+3||</t>
        </is>
      </c>
      <c r="E37" s="15" t="n">
        <v>7</v>
      </c>
      <c r="F37" s="15" t="inlineStr">
        <is>
          <t>2340</t>
        </is>
      </c>
      <c r="G37" s="15" t="inlineStr">
        <is>
          <t>10001|4$10006|4$20001|4$20002|4$20003|4$20004|4$20005|4$30001|4$30002|4$30003|4$30004|4$30005|4$40001|4$40002|4$40003|4$40004|4$40005|4$50001|4$60001|4$70001|4</t>
        </is>
      </c>
      <c r="H37" s="15" t="n">
        <v>32</v>
      </c>
      <c r="I37" s="15" t="inlineStr">
        <is>
          <t>150</t>
        </is>
      </c>
      <c r="J37" s="15" t="inlineStr">
        <is>
          <t>50001|4$60001|4$10006|11</t>
        </is>
      </c>
      <c r="K37" s="15" t="inlineStr">
        <is>
          <t>164001|68$</t>
        </is>
      </c>
    </row>
    <row r="38" ht="99.75" customHeight="1">
      <c r="B38" s="15" t="n">
        <v>35</v>
      </c>
      <c r="C38" s="15" t="n">
        <v>1225000</v>
      </c>
      <c r="D38" s="15" t="inlineStr">
        <is>
          <t>|||||建筑等级上限+1|随从数量+3||</t>
        </is>
      </c>
      <c r="E38" s="15" t="n">
        <v>7</v>
      </c>
      <c r="F38" s="15" t="inlineStr">
        <is>
          <t>2410</t>
        </is>
      </c>
      <c r="G38" s="15" t="inlineStr">
        <is>
          <t>10001|4$10006|4$20001|4$20002|4$20003|4$20004|4$20005|4$30001|4$30002|4$30003|4$30004|4$30005|4$40001|4$40002|4$40003|4$40004|4$40005|4$50001|4$60001|4$70001|4</t>
        </is>
      </c>
      <c r="H38" s="15" t="n">
        <v>32</v>
      </c>
      <c r="I38" s="15" t="inlineStr">
        <is>
          <t>150</t>
        </is>
      </c>
      <c r="J38" s="15" t="inlineStr">
        <is>
          <t>50001|4$60001|4$10006|11</t>
        </is>
      </c>
      <c r="K38" s="15" t="inlineStr">
        <is>
          <t>164001|70$</t>
        </is>
      </c>
    </row>
    <row r="39" ht="99.75" customHeight="1">
      <c r="B39" s="15" t="n">
        <v>36</v>
      </c>
      <c r="C39" s="15" t="n">
        <v>1296000</v>
      </c>
      <c r="D39" s="15" t="inlineStr">
        <is>
          <t>|解锁更多空地||精英矿坑上限+1|市场上限+1|建筑等级上限+1|随从数量+3|精英萤光草圃上限+1|精英档案馆上限+1</t>
        </is>
      </c>
      <c r="E39" s="15" t="n">
        <v>7</v>
      </c>
      <c r="F39" s="15" t="inlineStr">
        <is>
          <t>2480</t>
        </is>
      </c>
      <c r="G39" s="15" t="inlineStr">
        <is>
          <t>10001|4$10006|4$20001|4$20002|4$20003|4$20004|4$20005|4$30001|4$30002|4$30003|4$30004|4$30005|4$40001|4$40002|4$40003|4$40004|4$40005|4$50001|4$60001|4$70001|4</t>
        </is>
      </c>
      <c r="H39" s="15" t="n">
        <v>36</v>
      </c>
      <c r="I39" s="15" t="inlineStr">
        <is>
          <t>150</t>
        </is>
      </c>
      <c r="J39" s="15" t="inlineStr">
        <is>
          <t>50001|4$60001|4$10006|11</t>
        </is>
      </c>
      <c r="K39" s="15" t="inlineStr">
        <is>
          <t>164001|72$</t>
        </is>
      </c>
    </row>
    <row r="40" ht="99.75" customHeight="1">
      <c r="B40" s="15" t="n">
        <v>37</v>
      </c>
      <c r="C40" s="15" t="n">
        <v>1369000</v>
      </c>
      <c r="D40" s="15" t="inlineStr">
        <is>
          <t>可建造十二级炼金房|||||建筑等级上限+1|随从数量+3||</t>
        </is>
      </c>
      <c r="E40" s="15" t="n">
        <v>7</v>
      </c>
      <c r="F40" s="15" t="inlineStr">
        <is>
          <t>2550</t>
        </is>
      </c>
      <c r="G40" s="15" t="inlineStr">
        <is>
          <t>10001|4$10006|4$20001|4$20002|4$20003|4$20004|4$20005|4$30001|4$30002|4$30003|4$30004|4$30005|4$40001|4$40002|4$40003|4$40004|4$40005|4$50001|4$60001|4$70001|4</t>
        </is>
      </c>
      <c r="H40" s="15" t="n">
        <v>36</v>
      </c>
      <c r="I40" s="15" t="inlineStr">
        <is>
          <t>150</t>
        </is>
      </c>
      <c r="J40" s="15" t="inlineStr">
        <is>
          <t>50001|4$60001|4$10006|12</t>
        </is>
      </c>
      <c r="K40" s="15" t="inlineStr">
        <is>
          <t>164001|74$</t>
        </is>
      </c>
    </row>
    <row r="41" ht="99.75" customHeight="1">
      <c r="B41" s="15" t="n">
        <v>38</v>
      </c>
      <c r="C41" s="15" t="n">
        <v>1444000</v>
      </c>
      <c r="D41" s="15" t="inlineStr">
        <is>
          <t>|||||建筑等级上限+1|随从数量+3||</t>
        </is>
      </c>
      <c r="E41" s="15" t="n">
        <v>7</v>
      </c>
      <c r="F41" s="15" t="inlineStr">
        <is>
          <t>2620</t>
        </is>
      </c>
      <c r="G41" s="15" t="inlineStr">
        <is>
          <t>10001|4$10006|4$20001|4$20002|4$20003|4$20004|4$20005|4$30001|4$30002|4$30003|4$30004|4$30005|4$40001|4$40002|4$40003|4$40004|4$40005|4$50001|4$60001|4$70001|4</t>
        </is>
      </c>
      <c r="H41" s="15" t="n">
        <v>36</v>
      </c>
      <c r="I41" s="15" t="inlineStr">
        <is>
          <t>150</t>
        </is>
      </c>
      <c r="J41" s="15" t="inlineStr">
        <is>
          <t>50001|4$60001|4$10006|12</t>
        </is>
      </c>
      <c r="K41" s="15" t="inlineStr">
        <is>
          <t>164001|76$</t>
        </is>
      </c>
    </row>
    <row r="42" ht="99.75" customHeight="1">
      <c r="B42" s="15" t="n">
        <v>39</v>
      </c>
      <c r="C42" s="15" t="n">
        <v>1521000</v>
      </c>
      <c r="D42" s="15" t="inlineStr">
        <is>
          <t>|||||建筑等级上限+1|随从数量+3||</t>
        </is>
      </c>
      <c r="E42" s="15" t="n">
        <v>7</v>
      </c>
      <c r="F42" s="15" t="inlineStr">
        <is>
          <t>2690</t>
        </is>
      </c>
      <c r="G42" s="15" t="inlineStr">
        <is>
          <t>10001|4$10006|4$20001|4$20002|4$20003|4$20004|4$20005|4$30001|4$30002|4$30003|4$30004|4$30005|4$40001|4$40002|4$40003|4$40004|4$40005|4$50001|4$60001|4$70001|4</t>
        </is>
      </c>
      <c r="H42" s="15" t="n">
        <v>36</v>
      </c>
      <c r="I42" s="15" t="inlineStr">
        <is>
          <t>150</t>
        </is>
      </c>
      <c r="J42" s="15" t="inlineStr">
        <is>
          <t>50001|4$60001|4$10006|12</t>
        </is>
      </c>
      <c r="K42" s="15" t="inlineStr">
        <is>
          <t>164001|78$</t>
        </is>
      </c>
    </row>
    <row r="43" ht="99.75" customHeight="1">
      <c r="B43" s="15" t="n">
        <v>40</v>
      </c>
      <c r="C43" s="15" t="n">
        <v>1600000</v>
      </c>
      <c r="D43" s="15" t="inlineStr">
        <is>
          <t>|||||建筑等级上限+1|随从数量+3||</t>
        </is>
      </c>
      <c r="E43" s="15" t="n">
        <v>7</v>
      </c>
      <c r="F43" s="15" t="inlineStr">
        <is>
          <t>2760</t>
        </is>
      </c>
      <c r="G43" s="15" t="inlineStr">
        <is>
          <t>10001|4$10006|4$20001|4$20002|4$20003|4$20004|4$20005|4$30001|4$30002|4$30003|4$30004|4$30005|4$40001|4$40002|4$40003|4$40004|4$40005|4$50001|4$60001|4$70001|4</t>
        </is>
      </c>
      <c r="H43" s="15" t="n">
        <v>36</v>
      </c>
      <c r="I43" s="15" t="inlineStr">
        <is>
          <t>150</t>
        </is>
      </c>
      <c r="J43" s="15" t="inlineStr">
        <is>
          <t>50001|4$60001|4$10006|12</t>
        </is>
      </c>
      <c r="K43" s="15" t="inlineStr">
        <is>
          <t>164001|80$174001|1</t>
        </is>
      </c>
    </row>
    <row r="44" ht="99.75" customHeight="1">
      <c r="B44" s="15" t="n">
        <v>41</v>
      </c>
      <c r="C44" s="15" t="n">
        <v>1681000</v>
      </c>
      <c r="D44" s="15" t="inlineStr">
        <is>
          <t>可建造十三级炼金房|解锁更多空地|可建造五级铁匠铺|可以建造至尊矿坑|市场上限+1|建筑等级上限+1|随从数量+3|可以建造至尊萤光草圃|可以建造至尊档案馆</t>
        </is>
      </c>
      <c r="E44" s="15" t="n">
        <v>7</v>
      </c>
      <c r="F44" s="15" t="inlineStr">
        <is>
          <t>2830</t>
        </is>
      </c>
      <c r="G44" s="15" t="inlineStr">
        <is>
          <t>10001|4$10006|4$20001|4$20002|4$20003|4$20004|4$20005|4$30001|4$30002|4$30003|4$30004|4$30005|4$40001|4$40002|4$40003|4$40004|4$40005|4$50001|4$60001|4$70001|4</t>
        </is>
      </c>
      <c r="H44" s="15" t="n">
        <v>40</v>
      </c>
      <c r="I44" s="15" t="inlineStr">
        <is>
          <t>150</t>
        </is>
      </c>
      <c r="J44" s="15" t="inlineStr">
        <is>
          <t>50001|5$60001|5$10006|13</t>
        </is>
      </c>
      <c r="K44" s="15" t="inlineStr">
        <is>
          <t>165001|82$</t>
        </is>
      </c>
    </row>
    <row r="45" ht="99.75" customHeight="1">
      <c r="B45" s="15" t="n">
        <v>42</v>
      </c>
      <c r="C45" s="15" t="n">
        <v>1764000</v>
      </c>
      <c r="D45" s="15" t="inlineStr">
        <is>
          <t>|||||建筑等级上限+1|随从数量+3||</t>
        </is>
      </c>
      <c r="E45" s="15" t="n">
        <v>7</v>
      </c>
      <c r="F45" s="15" t="inlineStr">
        <is>
          <t>2900</t>
        </is>
      </c>
      <c r="G45" s="15" t="inlineStr">
        <is>
          <t>10001|4$10006|4$20001|4$20002|4$20003|4$20004|4$20005|4$30001|4$30002|4$30003|4$30004|4$30005|4$40001|4$40002|4$40003|4$40004|4$40005|4$50001|4$60001|4$70001|4</t>
        </is>
      </c>
      <c r="H45" s="15" t="n">
        <v>40</v>
      </c>
      <c r="I45" s="15" t="inlineStr">
        <is>
          <t>150</t>
        </is>
      </c>
      <c r="J45" s="15" t="inlineStr">
        <is>
          <t>50001|5$60001|5$10006|13</t>
        </is>
      </c>
      <c r="K45" s="15" t="inlineStr">
        <is>
          <t>165001|84$</t>
        </is>
      </c>
    </row>
    <row r="46" ht="99.75" customHeight="1">
      <c r="B46" s="15" t="n">
        <v>43</v>
      </c>
      <c r="C46" s="15" t="n">
        <v>1849000</v>
      </c>
      <c r="D46" s="15" t="inlineStr">
        <is>
          <t>|||||建筑等级上限+1|随从数量+3||</t>
        </is>
      </c>
      <c r="E46" s="15" t="n">
        <v>7</v>
      </c>
      <c r="F46" s="15" t="inlineStr">
        <is>
          <t>2970</t>
        </is>
      </c>
      <c r="G46" s="15" t="inlineStr">
        <is>
          <t>10001|4$10006|4$20001|4$20002|4$20003|4$20004|4$20005|4$30001|4$30002|4$30003|4$30004|4$30005|4$40001|4$40002|4$40003|4$40004|4$40005|4$50001|4$60001|4$70001|4</t>
        </is>
      </c>
      <c r="H46" s="15" t="n">
        <v>40</v>
      </c>
      <c r="I46" s="15" t="inlineStr">
        <is>
          <t>150</t>
        </is>
      </c>
      <c r="J46" s="15" t="inlineStr">
        <is>
          <t>50001|5$60001|5$10006|13</t>
        </is>
      </c>
      <c r="K46" s="15" t="inlineStr">
        <is>
          <t>165001|86$</t>
        </is>
      </c>
    </row>
    <row r="47" ht="99.75" customHeight="1">
      <c r="B47" s="15" t="n">
        <v>44</v>
      </c>
      <c r="C47" s="15" t="n">
        <v>1936000</v>
      </c>
      <c r="D47" s="15" t="inlineStr">
        <is>
          <t>可建造十四级炼金房|||||建筑等级上限+1|随从数量+3||</t>
        </is>
      </c>
      <c r="E47" s="15" t="n">
        <v>7</v>
      </c>
      <c r="F47" s="15" t="inlineStr">
        <is>
          <t>3040</t>
        </is>
      </c>
      <c r="G47" s="15" t="inlineStr">
        <is>
          <t>10001|4$10006|4$20001|4$20002|4$20003|4$20004|4$20005|4$30001|4$30002|4$30003|4$30004|4$30005|4$40001|4$40002|4$40003|4$40004|4$40005|4$50001|4$60001|4$70001|4</t>
        </is>
      </c>
      <c r="H47" s="15" t="n">
        <v>40</v>
      </c>
      <c r="I47" s="15" t="inlineStr">
        <is>
          <t>150</t>
        </is>
      </c>
      <c r="J47" s="15" t="inlineStr">
        <is>
          <t>50001|5$60001|5$10006|14</t>
        </is>
      </c>
      <c r="K47" s="15" t="inlineStr">
        <is>
          <t>165001|88$</t>
        </is>
      </c>
    </row>
    <row r="48" ht="99.75" customHeight="1">
      <c r="B48" s="15" t="n">
        <v>45</v>
      </c>
      <c r="C48" s="15" t="n">
        <v>2025000</v>
      </c>
      <c r="D48" s="15" t="inlineStr">
        <is>
          <t>|||||建筑等级上限+1|随从数量+3||</t>
        </is>
      </c>
      <c r="E48" s="15" t="n">
        <v>7</v>
      </c>
      <c r="F48" s="15" t="inlineStr">
        <is>
          <t>3110</t>
        </is>
      </c>
      <c r="G48" s="15" t="inlineStr">
        <is>
          <t>10001|4$10006|4$20001|4$20002|4$20003|4$20004|4$20005|4$30001|4$30002|4$30003|4$30004|4$30005|4$40001|4$40002|4$40003|4$40004|4$40005|4$50001|4$60001|4$70001|4</t>
        </is>
      </c>
      <c r="H48" s="15" t="n">
        <v>40</v>
      </c>
      <c r="I48" s="15" t="inlineStr">
        <is>
          <t>150</t>
        </is>
      </c>
      <c r="J48" s="15" t="inlineStr">
        <is>
          <t>50001|5$60001|5$10006|14</t>
        </is>
      </c>
      <c r="K48" s="15" t="inlineStr">
        <is>
          <t>165001|90$</t>
        </is>
      </c>
    </row>
    <row r="49" ht="99.75" customHeight="1">
      <c r="B49" s="15" t="n">
        <v>46</v>
      </c>
      <c r="C49" s="15" t="n">
        <v>2116000</v>
      </c>
      <c r="D49" s="15" t="inlineStr">
        <is>
          <t>|解锁更多空地||至尊矿坑上限+1|市场上限+1|建筑等级上限+1|随从数量+3|至尊萤光草圃上限+1|至尊档案馆上限+1</t>
        </is>
      </c>
      <c r="E49" s="15" t="n">
        <v>7</v>
      </c>
      <c r="F49" s="15" t="inlineStr">
        <is>
          <t>3180</t>
        </is>
      </c>
      <c r="G49" s="15" t="inlineStr">
        <is>
          <t>10001|4$10006|4$20001|4$20002|4$20003|4$20004|4$20005|4$30001|4$30002|4$30003|4$30004|4$30005|4$40001|4$40002|4$40003|4$40004|4$40005|4$50001|4$60001|4$70001|4</t>
        </is>
      </c>
      <c r="H49" s="15" t="n">
        <v>44</v>
      </c>
      <c r="I49" s="15" t="inlineStr">
        <is>
          <t>150</t>
        </is>
      </c>
      <c r="J49" s="15" t="inlineStr">
        <is>
          <t>50001|5$60001|5$10006|14</t>
        </is>
      </c>
      <c r="K49" s="15" t="inlineStr">
        <is>
          <t>165001|92$</t>
        </is>
      </c>
    </row>
    <row r="50" ht="99.75" customHeight="1">
      <c r="B50" s="15" t="n">
        <v>47</v>
      </c>
      <c r="C50" s="15" t="n">
        <v>2209000</v>
      </c>
      <c r="D50" s="15" t="inlineStr">
        <is>
          <t>可建造十五级炼金房|||||建筑等级上限+1|随从数量+3||</t>
        </is>
      </c>
      <c r="E50" s="15" t="n">
        <v>7</v>
      </c>
      <c r="F50" s="15" t="inlineStr">
        <is>
          <t>3250</t>
        </is>
      </c>
      <c r="G50" s="15" t="inlineStr">
        <is>
          <t>10001|4$10006|4$20001|4$20002|4$20003|4$20004|4$20005|4$30001|4$30002|4$30003|4$30004|4$30005|4$40001|4$40002|4$40003|4$40004|4$40005|4$50001|4$60001|4$70001|4</t>
        </is>
      </c>
      <c r="H50" s="15" t="n">
        <v>44</v>
      </c>
      <c r="I50" s="15" t="inlineStr">
        <is>
          <t>150</t>
        </is>
      </c>
      <c r="J50" s="15" t="inlineStr">
        <is>
          <t>50001|5$60001|5$10006|15</t>
        </is>
      </c>
      <c r="K50" s="15" t="inlineStr">
        <is>
          <t>165001|94$</t>
        </is>
      </c>
    </row>
    <row r="51" ht="99.75" customHeight="1">
      <c r="B51" s="15" t="n">
        <v>48</v>
      </c>
      <c r="C51" s="15" t="n">
        <v>2304000</v>
      </c>
      <c r="D51" s="15" t="inlineStr">
        <is>
          <t>|||||建筑等级上限+1|随从数量+3||</t>
        </is>
      </c>
      <c r="E51" s="15" t="n">
        <v>7</v>
      </c>
      <c r="F51" s="15" t="inlineStr">
        <is>
          <t>3320</t>
        </is>
      </c>
      <c r="G51" s="15" t="inlineStr">
        <is>
          <t>10001|4$10006|4$20001|4$20002|4$20003|4$20004|4$20005|4$30001|4$30002|4$30003|4$30004|4$30005|4$40001|4$40002|4$40003|4$40004|4$40005|4$50001|4$60001|4$70001|4</t>
        </is>
      </c>
      <c r="H51" s="15" t="n">
        <v>44</v>
      </c>
      <c r="I51" s="15" t="inlineStr">
        <is>
          <t>150</t>
        </is>
      </c>
      <c r="J51" s="15" t="inlineStr">
        <is>
          <t>50001|5$60001|5$10006|15</t>
        </is>
      </c>
      <c r="K51" s="15" t="inlineStr">
        <is>
          <t>165001|96$</t>
        </is>
      </c>
    </row>
    <row r="52" ht="85.5" customHeight="1">
      <c r="B52" s="15" t="n">
        <v>49</v>
      </c>
      <c r="C52" s="15" t="n">
        <v>2401000</v>
      </c>
      <c r="D52" s="15" t="inlineStr">
        <is>
          <t>|||||建筑等级上限+1|随从数量+3||</t>
        </is>
      </c>
      <c r="E52" s="15" t="n">
        <v>7</v>
      </c>
      <c r="F52" s="15" t="inlineStr">
        <is>
          <t>3390</t>
        </is>
      </c>
      <c r="G52" s="15" t="inlineStr">
        <is>
          <t>10001|4$10006|4$20001|4$20002|4$20003|4$20004|4$20005|4$30001|4$30002|4$30003|4$30004|4$30005|4$40001|4$40002|4$40003|4$40004|4$40005|4$50001|4$60001|4$70001|4</t>
        </is>
      </c>
      <c r="H52" s="15" t="n">
        <v>44</v>
      </c>
      <c r="I52" s="15" t="inlineStr">
        <is>
          <t>150</t>
        </is>
      </c>
      <c r="J52" s="15" t="inlineStr">
        <is>
          <t>50001|5$60001|5$10006|15</t>
        </is>
      </c>
      <c r="K52" s="15" t="inlineStr">
        <is>
          <t>165001|98$</t>
        </is>
      </c>
    </row>
    <row r="53" ht="85.5" customHeight="1">
      <c r="B53" s="15" t="n">
        <v>50</v>
      </c>
      <c r="C53" s="15" t="n">
        <v>2500000</v>
      </c>
      <c r="D53" s="15" t="inlineStr">
        <is>
          <t>|||||建筑等级上限+1|随从数量+3||</t>
        </is>
      </c>
      <c r="E53" s="15" t="n">
        <v>7</v>
      </c>
      <c r="F53" s="15" t="inlineStr">
        <is>
          <t>3460</t>
        </is>
      </c>
      <c r="G53" s="15" t="inlineStr">
        <is>
          <t>10001|4$10006|4$20001|4$20002|4$20003|4$20004|4$20005|4$30001|4$30002|4$30003|4$30004|4$30005|4$40001|4$40002|4$40003|4$40004|4$40005|4$50001|4$60001|4$70001|4</t>
        </is>
      </c>
      <c r="H53" s="15" t="n">
        <v>44</v>
      </c>
      <c r="I53" s="15" t="inlineStr">
        <is>
          <t>150</t>
        </is>
      </c>
      <c r="J53" s="15" t="inlineStr">
        <is>
          <t>50001|5$60001|5$10006|15</t>
        </is>
      </c>
      <c r="K53" s="15" t="inlineStr">
        <is>
          <t>165001|100$175001|1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2"/>
  <sheetViews>
    <sheetView topLeftCell="AF1" workbookViewId="0">
      <pane ySplit="1" topLeftCell="A17" activePane="bottomLeft" state="frozen"/>
      <selection activeCell="A1" sqref="A1"/>
      <selection pane="bottomLeft" activeCell="AQ23" sqref="AQ23"/>
    </sheetView>
  </sheetViews>
  <sheetFormatPr baseColWidth="8" defaultColWidth="9" defaultRowHeight="14.25"/>
  <cols>
    <col width="21.875" customWidth="1" min="2" max="5"/>
    <col width="85.875" customWidth="1" min="6" max="6"/>
    <col width="30.5" customWidth="1" min="7" max="7"/>
    <col width="15.875" customWidth="1" min="8" max="8"/>
    <col width="15" customWidth="1" min="9" max="9"/>
    <col width="12.125" customWidth="1" min="10" max="10"/>
    <col width="15.125" customWidth="1" min="11" max="11"/>
    <col width="15.375" customWidth="1" min="12" max="12"/>
    <col width="15.75" customWidth="1" min="13" max="13"/>
    <col width="15.25" customWidth="1" min="14" max="14"/>
    <col width="22.375" customWidth="1" min="15" max="16"/>
    <col width="19" customWidth="1" min="17" max="17"/>
    <col width="24.875" customWidth="1" min="18" max="18"/>
    <col width="9.625" customWidth="1" min="19" max="19"/>
    <col width="10.875" customWidth="1" min="20" max="20"/>
    <col width="7.75" customWidth="1" min="21" max="21"/>
    <col width="8.25" customWidth="1" min="22" max="22"/>
    <col width="8.75" customWidth="1" min="23" max="23"/>
    <col width="10.75" customWidth="1" min="32" max="32"/>
    <col width="10.25" customWidth="1" min="34" max="34"/>
    <col width="9" customWidth="1" min="36" max="36"/>
    <col width="15.5" customWidth="1" min="41" max="41"/>
    <col width="23.75" customWidth="1" min="42" max="42"/>
  </cols>
  <sheetData>
    <row r="1">
      <c r="B1" t="inlineStr">
        <is>
          <t>特殊建筑等级上限</t>
        </is>
      </c>
      <c r="C1" t="inlineStr">
        <is>
          <t>炼器房</t>
        </is>
      </c>
      <c r="D1" t="inlineStr">
        <is>
          <t>八卦炉</t>
        </is>
      </c>
      <c r="E1" t="inlineStr">
        <is>
          <t>炼丹炉</t>
        </is>
      </c>
      <c r="T1" t="inlineStr">
        <is>
          <t>灵田</t>
        </is>
      </c>
      <c r="U1" s="11" t="inlineStr">
        <is>
          <t>炼丹炉</t>
        </is>
      </c>
      <c r="V1" s="11" t="inlineStr">
        <is>
          <t>凡级矿场</t>
        </is>
      </c>
      <c r="W1" s="11" t="inlineStr">
        <is>
          <t>黄级矿场</t>
        </is>
      </c>
      <c r="X1" s="11" t="inlineStr">
        <is>
          <t>玄级矿场</t>
        </is>
      </c>
      <c r="Y1" s="11" t="inlineStr">
        <is>
          <t>地级矿场</t>
        </is>
      </c>
      <c r="Z1" s="11" t="inlineStr">
        <is>
          <t>天级矿场</t>
        </is>
      </c>
      <c r="AA1" s="11" t="inlineStr">
        <is>
          <t>凡级灵树</t>
        </is>
      </c>
      <c r="AB1" s="11" t="inlineStr">
        <is>
          <t>黄级灵树</t>
        </is>
      </c>
      <c r="AC1" s="11" t="inlineStr">
        <is>
          <t>玄级灵树</t>
        </is>
      </c>
      <c r="AD1" s="11" t="inlineStr">
        <is>
          <t>地级灵树</t>
        </is>
      </c>
      <c r="AE1" s="11" t="inlineStr">
        <is>
          <t>天级灵树</t>
        </is>
      </c>
      <c r="AF1" s="11" t="inlineStr">
        <is>
          <t>凡级藏经阁</t>
        </is>
      </c>
      <c r="AG1" s="11" t="inlineStr">
        <is>
          <t>黄级藏经阁</t>
        </is>
      </c>
      <c r="AH1" s="11" t="inlineStr">
        <is>
          <t>玄级藏经阁</t>
        </is>
      </c>
      <c r="AI1" s="11" t="inlineStr">
        <is>
          <t>地级藏经阁</t>
        </is>
      </c>
      <c r="AJ1" s="11" t="inlineStr">
        <is>
          <t>天级藏经阁</t>
        </is>
      </c>
      <c r="AK1" s="11" t="inlineStr">
        <is>
          <t>炼器房</t>
        </is>
      </c>
      <c r="AL1" s="11" t="inlineStr">
        <is>
          <t>八卦炉</t>
        </is>
      </c>
      <c r="AM1" s="11" t="inlineStr">
        <is>
          <t>练功房</t>
        </is>
      </c>
      <c r="AO1" s="11" t="inlineStr">
        <is>
          <t>解锁房间数量</t>
        </is>
      </c>
      <c r="AP1" s="11" t="inlineStr">
        <is>
          <t>源力上限</t>
        </is>
      </c>
    </row>
    <row r="2">
      <c r="C2" t="n">
        <v>50001</v>
      </c>
      <c r="D2" t="n">
        <v>60001</v>
      </c>
      <c r="E2" t="n">
        <v>10006</v>
      </c>
      <c r="S2" t="inlineStr">
        <is>
          <t>建筑id</t>
        </is>
      </c>
      <c r="T2" t="n">
        <v>10001</v>
      </c>
      <c r="U2" s="11" t="inlineStr">
        <is>
          <t>10006</t>
        </is>
      </c>
      <c r="V2" s="11" t="inlineStr">
        <is>
          <t>20001</t>
        </is>
      </c>
      <c r="W2" s="11" t="inlineStr">
        <is>
          <t>20002</t>
        </is>
      </c>
      <c r="X2" s="11" t="inlineStr">
        <is>
          <t>20003</t>
        </is>
      </c>
      <c r="Y2" s="11" t="inlineStr">
        <is>
          <t>20004</t>
        </is>
      </c>
      <c r="Z2" s="11" t="inlineStr">
        <is>
          <t>20005</t>
        </is>
      </c>
      <c r="AA2" s="11" t="inlineStr">
        <is>
          <t>30001</t>
        </is>
      </c>
      <c r="AB2" s="11" t="inlineStr">
        <is>
          <t>30002</t>
        </is>
      </c>
      <c r="AC2" s="11" t="inlineStr">
        <is>
          <t>30003</t>
        </is>
      </c>
      <c r="AD2" s="11" t="inlineStr">
        <is>
          <t>30004</t>
        </is>
      </c>
      <c r="AE2" s="11" t="inlineStr">
        <is>
          <t>30005</t>
        </is>
      </c>
      <c r="AF2" s="11" t="inlineStr">
        <is>
          <t>40001</t>
        </is>
      </c>
      <c r="AG2" s="11" t="inlineStr">
        <is>
          <t>40002</t>
        </is>
      </c>
      <c r="AH2" s="11" t="inlineStr">
        <is>
          <t>40003</t>
        </is>
      </c>
      <c r="AI2" s="11" t="inlineStr">
        <is>
          <t>40004</t>
        </is>
      </c>
      <c r="AJ2" s="11" t="inlineStr">
        <is>
          <t>40005</t>
        </is>
      </c>
      <c r="AK2" t="n">
        <v>50001</v>
      </c>
      <c r="AL2" s="11" t="inlineStr">
        <is>
          <t>60001</t>
        </is>
      </c>
      <c r="AM2" t="n">
        <v>70001</v>
      </c>
    </row>
    <row r="3" ht="85.5" customHeight="1">
      <c r="A3" t="n">
        <v>1</v>
      </c>
      <c r="B3">
        <f>$C$2&amp;"|"&amp;C3&amp;"$"&amp;$D$2&amp;"|"&amp;D3&amp;"$"&amp;$E$2&amp;"|"&amp;E3</f>
        <v/>
      </c>
      <c r="C3" t="n">
        <v>1</v>
      </c>
      <c r="D3" t="n">
        <v>0</v>
      </c>
      <c r="E3" t="n">
        <v>1</v>
      </c>
      <c r="Q3" t="inlineStr">
        <is>
          <t>1级建筑</t>
        </is>
      </c>
      <c r="R3" s="12">
        <f>$T$2&amp;"|"&amp;T3&amp;"$"&amp;$U$2&amp;"|"&amp;U3&amp;"$"&amp;$V$2&amp;"|"&amp;V3&amp;"$"&amp;$W$2&amp;"|"&amp;W3&amp;"$"&amp;$X$2&amp;"|"&amp;X3&amp;"$"&amp;$Y$2&amp;"|"&amp;Y3&amp;"$"&amp;$Z$2&amp;"|"&amp;Z3&amp;"$"&amp;$AA$2&amp;"|"&amp;AA3&amp;"$"&amp;$AB$2&amp;"|"&amp;AB3&amp;"$"&amp;$AC$2&amp;"|"&amp;AC3&amp;"$"&amp;$AD$2&amp;"|"&amp;AD3&amp;"$"&amp;$AE$2&amp;"|"&amp;AE3&amp;"$"&amp;$AF$2&amp;"|"&amp;AF3&amp;"$"&amp;$AG$2&amp;"|"&amp;AG3&amp;"$"&amp;$AH$2&amp;"|"&amp;AH3&amp;"$"&amp;$AI$2&amp;"|"&amp;AI3&amp;"$"&amp;$AJ$2&amp;"|"&amp;AJ3&amp;"$"&amp;$AK$2&amp;"|"&amp;AK3&amp;"$"&amp;$AL$2&amp;"|"&amp;AL3&amp;"$"&amp;$AM$2&amp;"|"&amp;AM3</f>
        <v/>
      </c>
      <c r="S3" t="inlineStr">
        <is>
          <t>灵田数量</t>
        </is>
      </c>
      <c r="T3" t="n">
        <v>1</v>
      </c>
      <c r="AN3" s="13" t="n">
        <v>1</v>
      </c>
      <c r="AO3" t="n">
        <v>4</v>
      </c>
      <c r="AP3" s="15" t="inlineStr">
        <is>
          <t>10</t>
        </is>
      </c>
    </row>
    <row r="4" ht="85.5" customHeight="1">
      <c r="A4" t="n">
        <v>2</v>
      </c>
      <c r="B4">
        <f>$C$2&amp;"|"&amp;C4&amp;"$"&amp;$D$2&amp;"|"&amp;D4&amp;"$"&amp;$E$2&amp;"|"&amp;E4</f>
        <v/>
      </c>
      <c r="C4" t="n">
        <v>1</v>
      </c>
      <c r="D4" t="n">
        <v>1</v>
      </c>
      <c r="E4" t="n">
        <v>1</v>
      </c>
      <c r="F4" s="12">
        <f>G4&amp;"|"&amp;H4&amp;"|"&amp;I4&amp;"|"&amp;J4&amp;"|"&amp;K4&amp;"|"&amp;L4&amp;"|"&amp;M4&amp;"|"&amp;N4&amp;"|"&amp;O4&amp;"|"&amp;P4</f>
        <v/>
      </c>
      <c r="G4" s="12" t="n"/>
      <c r="J4" t="inlineStr">
        <is>
          <t>源力上限+10</t>
        </is>
      </c>
      <c r="L4" t="inlineStr">
        <is>
          <t>灵田上限+1</t>
        </is>
      </c>
      <c r="M4" t="inlineStr">
        <is>
          <t>建筑等级上限+1</t>
        </is>
      </c>
      <c r="N4" t="inlineStr">
        <is>
          <t>弟子数量+3</t>
        </is>
      </c>
      <c r="O4" t="inlineStr">
        <is>
          <t>可以建造凡级采矿场</t>
        </is>
      </c>
      <c r="Q4" t="inlineStr">
        <is>
          <t>2级建筑</t>
        </is>
      </c>
      <c r="R4" s="12">
        <f>$T$2&amp;"|"&amp;T4&amp;"$"&amp;$U$2&amp;"|"&amp;U4&amp;"$"&amp;$V$2&amp;"|"&amp;V4&amp;"$"&amp;$W$2&amp;"|"&amp;W4&amp;"$"&amp;$X$2&amp;"|"&amp;X4&amp;"$"&amp;$Y$2&amp;"|"&amp;Y4&amp;"$"&amp;$Z$2&amp;"|"&amp;Z4&amp;"$"&amp;$AA$2&amp;"|"&amp;AA4&amp;"$"&amp;$AB$2&amp;"|"&amp;AB4&amp;"$"&amp;$AC$2&amp;"|"&amp;AC4&amp;"$"&amp;$AD$2&amp;"|"&amp;AD4&amp;"$"&amp;$AE$2&amp;"|"&amp;AE4&amp;"$"&amp;$AF$2&amp;"|"&amp;AF4&amp;"$"&amp;$AG$2&amp;"|"&amp;AG4&amp;"$"&amp;$AH$2&amp;"|"&amp;AH4&amp;"$"&amp;$AI$2&amp;"|"&amp;AI4&amp;"$"&amp;$AJ$2&amp;"|"&amp;AJ4&amp;"$"&amp;$AK$2&amp;"|"&amp;AK4&amp;"$"&amp;$AL$2&amp;"|"&amp;AL4&amp;"$"&amp;$AM$2&amp;"|"&amp;AM4</f>
        <v/>
      </c>
      <c r="T4" t="n">
        <v>2</v>
      </c>
      <c r="V4" t="n">
        <v>1</v>
      </c>
      <c r="AN4" s="13" t="n">
        <v>2</v>
      </c>
      <c r="AO4" t="n">
        <v>4</v>
      </c>
      <c r="AP4" s="15" t="inlineStr">
        <is>
          <t>20</t>
        </is>
      </c>
    </row>
    <row r="5" ht="85.5" customHeight="1">
      <c r="A5" t="n">
        <v>3</v>
      </c>
      <c r="B5">
        <f>$C$2&amp;"|"&amp;C5&amp;"$"&amp;$D$2&amp;"|"&amp;D5&amp;"$"&amp;$E$2&amp;"|"&amp;E5</f>
        <v/>
      </c>
      <c r="C5" t="n">
        <v>1</v>
      </c>
      <c r="D5" t="n">
        <v>1</v>
      </c>
      <c r="E5" t="n">
        <v>1</v>
      </c>
      <c r="F5" s="12">
        <f>H5&amp;"|"&amp;I5&amp;"|"&amp;J5&amp;"|"&amp;K5&amp;"|"&amp;L5&amp;"|"&amp;M5&amp;"|"&amp;N5&amp;"|"&amp;O5&amp;"|"&amp;P5</f>
        <v/>
      </c>
      <c r="G5" s="12" t="n"/>
      <c r="J5" t="inlineStr">
        <is>
          <t>源力上限+10</t>
        </is>
      </c>
      <c r="K5" t="inlineStr">
        <is>
          <t>可以建造练功房</t>
        </is>
      </c>
      <c r="L5" t="inlineStr">
        <is>
          <t>解锁更多空地</t>
        </is>
      </c>
      <c r="M5" t="inlineStr">
        <is>
          <t>建筑等级上限+1</t>
        </is>
      </c>
      <c r="N5" t="inlineStr">
        <is>
          <t>弟子数量+3</t>
        </is>
      </c>
      <c r="O5" t="inlineStr">
        <is>
          <t>可以建造炼器房</t>
        </is>
      </c>
      <c r="Q5" t="inlineStr">
        <is>
          <t>3级建筑</t>
        </is>
      </c>
      <c r="R5" s="12">
        <f>$T$2&amp;"|"&amp;T5&amp;"$"&amp;$U$2&amp;"|"&amp;U5&amp;"$"&amp;$V$2&amp;"|"&amp;V5&amp;"$"&amp;$W$2&amp;"|"&amp;W5&amp;"$"&amp;$X$2&amp;"|"&amp;X5&amp;"$"&amp;$Y$2&amp;"|"&amp;Y5&amp;"$"&amp;$Z$2&amp;"|"&amp;Z5&amp;"$"&amp;$AA$2&amp;"|"&amp;AA5&amp;"$"&amp;$AB$2&amp;"|"&amp;AB5&amp;"$"&amp;$AC$2&amp;"|"&amp;AC5&amp;"$"&amp;$AD$2&amp;"|"&amp;AD5&amp;"$"&amp;$AE$2&amp;"|"&amp;AE5&amp;"$"&amp;$AF$2&amp;"|"&amp;AF5&amp;"$"&amp;$AG$2&amp;"|"&amp;AG5&amp;"$"&amp;$AH$2&amp;"|"&amp;AH5&amp;"$"&amp;$AI$2&amp;"|"&amp;AI5&amp;"$"&amp;$AJ$2&amp;"|"&amp;AJ5&amp;"$"&amp;$AK$2&amp;"|"&amp;AK5&amp;"$"&amp;$AL$2&amp;"|"&amp;AL5&amp;"$"&amp;$AM$2&amp;"|"&amp;AM5</f>
        <v/>
      </c>
      <c r="S5" s="11" t="n"/>
      <c r="T5" t="n">
        <v>2</v>
      </c>
      <c r="V5" t="n">
        <v>1</v>
      </c>
      <c r="AK5" t="n">
        <v>1</v>
      </c>
      <c r="AM5" t="n">
        <v>1</v>
      </c>
      <c r="AN5" s="13" t="n">
        <v>3</v>
      </c>
      <c r="AO5">
        <f>SUM(T5:AM5)</f>
        <v/>
      </c>
      <c r="AP5" s="15" t="inlineStr">
        <is>
          <t>30</t>
        </is>
      </c>
    </row>
    <row r="6" ht="85.5" customHeight="1">
      <c r="A6" t="n">
        <v>4</v>
      </c>
      <c r="B6">
        <f>$C$2&amp;"|"&amp;C6&amp;"$"&amp;$D$2&amp;"|"&amp;D6&amp;"$"&amp;$E$2&amp;"|"&amp;E6</f>
        <v/>
      </c>
      <c r="C6" t="n">
        <v>1</v>
      </c>
      <c r="D6" t="n">
        <v>1</v>
      </c>
      <c r="E6" t="inlineStr">
        <is>
          <t xml:space="preserve">  </t>
        </is>
      </c>
      <c r="F6" s="12">
        <f>H6&amp;"|"&amp;I6&amp;"|"&amp;J6&amp;"|"&amp;K6&amp;"|"&amp;L6&amp;"|"&amp;M6&amp;"|"&amp;N6&amp;"|"&amp;O6&amp;"|"&amp;P6</f>
        <v/>
      </c>
      <c r="G6" s="12" t="n"/>
      <c r="H6" t="inlineStr">
        <is>
          <t>可建造二级炼丹房</t>
        </is>
      </c>
      <c r="J6" t="inlineStr">
        <is>
          <t>源力上限+10</t>
        </is>
      </c>
      <c r="K6" t="inlineStr">
        <is>
          <t>解锁更多空地</t>
        </is>
      </c>
      <c r="L6" t="inlineStr">
        <is>
          <t>可以建造灵树</t>
        </is>
      </c>
      <c r="M6" t="inlineStr">
        <is>
          <t>建筑等级上限+1</t>
        </is>
      </c>
      <c r="N6" t="inlineStr">
        <is>
          <t>弟子数量+3</t>
        </is>
      </c>
      <c r="O6" t="inlineStr">
        <is>
          <t>可以建造炼丹炉</t>
        </is>
      </c>
      <c r="Q6" t="inlineStr">
        <is>
          <t>4级建筑</t>
        </is>
      </c>
      <c r="R6" s="12">
        <f>$T$2&amp;"|"&amp;T6&amp;"$"&amp;$U$2&amp;"|"&amp;U6&amp;"$"&amp;$V$2&amp;"|"&amp;V6&amp;"$"&amp;$W$2&amp;"|"&amp;W6&amp;"$"&amp;$X$2&amp;"|"&amp;X6&amp;"$"&amp;$Y$2&amp;"|"&amp;Y6&amp;"$"&amp;$Z$2&amp;"|"&amp;Z6&amp;"$"&amp;$AA$2&amp;"|"&amp;AA6&amp;"$"&amp;$AB$2&amp;"|"&amp;AB6&amp;"$"&amp;$AC$2&amp;"|"&amp;AC6&amp;"$"&amp;$AD$2&amp;"|"&amp;AD6&amp;"$"&amp;$AE$2&amp;"|"&amp;AE6&amp;"$"&amp;$AF$2&amp;"|"&amp;AF6&amp;"$"&amp;$AG$2&amp;"|"&amp;AG6&amp;"$"&amp;$AH$2&amp;"|"&amp;AH6&amp;"$"&amp;$AI$2&amp;"|"&amp;AI6&amp;"$"&amp;$AJ$2&amp;"|"&amp;AJ6&amp;"$"&amp;$AK$2&amp;"|"&amp;AK6&amp;"$"&amp;$AL$2&amp;"|"&amp;AL6&amp;"$"&amp;$AM$2&amp;"|"&amp;AM6</f>
        <v/>
      </c>
      <c r="S6" s="11" t="n"/>
      <c r="T6" t="n">
        <v>2</v>
      </c>
      <c r="U6" t="n">
        <v>1</v>
      </c>
      <c r="V6" t="n">
        <v>1</v>
      </c>
      <c r="AA6" t="n">
        <v>1</v>
      </c>
      <c r="AK6" t="n">
        <v>1</v>
      </c>
      <c r="AM6" t="n">
        <v>1</v>
      </c>
      <c r="AN6" s="13" t="n">
        <v>4</v>
      </c>
      <c r="AO6">
        <f>SUM(T6:AM6)</f>
        <v/>
      </c>
      <c r="AP6" s="15" t="inlineStr">
        <is>
          <t>40</t>
        </is>
      </c>
    </row>
    <row r="7" ht="85.5" customHeight="1">
      <c r="A7" t="n">
        <v>5</v>
      </c>
      <c r="B7">
        <f>$C$2&amp;"|"&amp;C7&amp;"$"&amp;$D$2&amp;"|"&amp;D7&amp;"$"&amp;$E$2&amp;"|"&amp;E7</f>
        <v/>
      </c>
      <c r="C7" t="n">
        <v>1</v>
      </c>
      <c r="D7" t="n">
        <v>1</v>
      </c>
      <c r="E7" t="n">
        <v>2</v>
      </c>
      <c r="F7" s="12">
        <f>H7&amp;"|"&amp;I7&amp;"|"&amp;J7&amp;"|"&amp;K7&amp;"|"&amp;L7&amp;"|"&amp;M7&amp;"|"&amp;N7&amp;"|"&amp;O7&amp;"|"&amp;P7</f>
        <v/>
      </c>
      <c r="G7" s="12" t="n"/>
      <c r="I7" t="inlineStr">
        <is>
          <t>可以建造八卦炉</t>
        </is>
      </c>
      <c r="J7" t="inlineStr">
        <is>
          <t>源力上限+10</t>
        </is>
      </c>
      <c r="L7" t="inlineStr">
        <is>
          <t>解锁更多空地</t>
        </is>
      </c>
      <c r="M7" t="inlineStr">
        <is>
          <t>建筑等级上限+1</t>
        </is>
      </c>
      <c r="N7" t="inlineStr">
        <is>
          <t>弟子数量+3</t>
        </is>
      </c>
      <c r="O7" t="inlineStr">
        <is>
          <t>可以建造藏经阁</t>
        </is>
      </c>
      <c r="Q7" t="inlineStr">
        <is>
          <t>5级建筑</t>
        </is>
      </c>
      <c r="R7" s="12">
        <f>$T$2&amp;"|"&amp;T7&amp;"$"&amp;$U$2&amp;"|"&amp;U7&amp;"$"&amp;$V$2&amp;"|"&amp;V7&amp;"$"&amp;$W$2&amp;"|"&amp;W7&amp;"$"&amp;$X$2&amp;"|"&amp;X7&amp;"$"&amp;$Y$2&amp;"|"&amp;Y7&amp;"$"&amp;$Z$2&amp;"|"&amp;Z7&amp;"$"&amp;$AA$2&amp;"|"&amp;AA7&amp;"$"&amp;$AB$2&amp;"|"&amp;AB7&amp;"$"&amp;$AC$2&amp;"|"&amp;AC7&amp;"$"&amp;$AD$2&amp;"|"&amp;AD7&amp;"$"&amp;$AE$2&amp;"|"&amp;AE7&amp;"$"&amp;$AF$2&amp;"|"&amp;AF7&amp;"$"&amp;$AG$2&amp;"|"&amp;AG7&amp;"$"&amp;$AH$2&amp;"|"&amp;AH7&amp;"$"&amp;$AI$2&amp;"|"&amp;AI7&amp;"$"&amp;$AJ$2&amp;"|"&amp;AJ7&amp;"$"&amp;$AK$2&amp;"|"&amp;AK7&amp;"$"&amp;$AL$2&amp;"|"&amp;AL7&amp;"$"&amp;$AM$2&amp;"|"&amp;AM7</f>
        <v/>
      </c>
      <c r="S7" s="11" t="n"/>
      <c r="T7" t="n">
        <v>2</v>
      </c>
      <c r="U7" t="n">
        <v>1</v>
      </c>
      <c r="V7" t="n">
        <v>1</v>
      </c>
      <c r="AA7" t="n">
        <v>1</v>
      </c>
      <c r="AF7" t="n">
        <v>1</v>
      </c>
      <c r="AK7" t="n">
        <v>1</v>
      </c>
      <c r="AL7" t="n">
        <v>1</v>
      </c>
      <c r="AM7" t="n">
        <v>1</v>
      </c>
      <c r="AN7" s="13" t="n">
        <v>5</v>
      </c>
      <c r="AO7">
        <f>SUM(T7:AM7)</f>
        <v/>
      </c>
      <c r="AP7" s="15" t="inlineStr">
        <is>
          <t>50</t>
        </is>
      </c>
    </row>
    <row r="8" ht="85.5" customHeight="1">
      <c r="A8" t="n">
        <v>6</v>
      </c>
      <c r="B8">
        <f>$C$2&amp;"|"&amp;C8&amp;"$"&amp;$D$2&amp;"|"&amp;D8&amp;"$"&amp;$E$2&amp;"|"&amp;E8</f>
        <v/>
      </c>
      <c r="C8" t="n">
        <v>1</v>
      </c>
      <c r="D8" t="n">
        <v>1</v>
      </c>
      <c r="E8" t="n">
        <v>2</v>
      </c>
      <c r="F8" s="12">
        <f>H8&amp;"|"&amp;I8&amp;"|"&amp;J8&amp;"|"&amp;K8&amp;"|"&amp;L8&amp;"|"&amp;M8&amp;"|"&amp;N8&amp;"|"&amp;O8&amp;"|"&amp;P8</f>
        <v/>
      </c>
      <c r="G8" s="12" t="n"/>
      <c r="J8" t="inlineStr">
        <is>
          <t>源力上限+10</t>
        </is>
      </c>
      <c r="L8" t="inlineStr">
        <is>
          <t>凡级采矿场上限+1</t>
        </is>
      </c>
      <c r="M8" t="inlineStr">
        <is>
          <t>建筑等级上限+1</t>
        </is>
      </c>
      <c r="N8" t="inlineStr">
        <is>
          <t>弟子数量+3</t>
        </is>
      </c>
      <c r="Q8" t="inlineStr">
        <is>
          <t>6级建筑</t>
        </is>
      </c>
      <c r="R8" s="12">
        <f>$T$2&amp;"|"&amp;T8&amp;"$"&amp;$U$2&amp;"|"&amp;U8&amp;"$"&amp;$V$2&amp;"|"&amp;V8&amp;"$"&amp;$W$2&amp;"|"&amp;W8&amp;"$"&amp;$X$2&amp;"|"&amp;X8&amp;"$"&amp;$Y$2&amp;"|"&amp;Y8&amp;"$"&amp;$Z$2&amp;"|"&amp;Z8&amp;"$"&amp;$AA$2&amp;"|"&amp;AA8&amp;"$"&amp;$AB$2&amp;"|"&amp;AB8&amp;"$"&amp;$AC$2&amp;"|"&amp;AC8&amp;"$"&amp;$AD$2&amp;"|"&amp;AD8&amp;"$"&amp;$AE$2&amp;"|"&amp;AE8&amp;"$"&amp;$AF$2&amp;"|"&amp;AF8&amp;"$"&amp;$AG$2&amp;"|"&amp;AG8&amp;"$"&amp;$AH$2&amp;"|"&amp;AH8&amp;"$"&amp;$AI$2&amp;"|"&amp;AI8&amp;"$"&amp;$AJ$2&amp;"|"&amp;AJ8&amp;"$"&amp;$AK$2&amp;"|"&amp;AK8&amp;"$"&amp;$AL$2&amp;"|"&amp;AL8&amp;"$"&amp;$AM$2&amp;"|"&amp;AM8</f>
        <v/>
      </c>
      <c r="S8" s="11" t="n"/>
      <c r="T8" t="n">
        <v>2</v>
      </c>
      <c r="U8" t="n">
        <v>1</v>
      </c>
      <c r="V8" t="n">
        <v>2</v>
      </c>
      <c r="AA8" t="n">
        <v>1</v>
      </c>
      <c r="AF8" t="n">
        <v>1</v>
      </c>
      <c r="AK8" t="n">
        <v>1</v>
      </c>
      <c r="AL8" t="n">
        <v>1</v>
      </c>
      <c r="AM8" t="n">
        <v>1</v>
      </c>
      <c r="AN8" s="13" t="n">
        <v>6</v>
      </c>
      <c r="AO8">
        <f>SUM(T8:AM8)</f>
        <v/>
      </c>
      <c r="AP8" s="15" t="inlineStr">
        <is>
          <t>60</t>
        </is>
      </c>
    </row>
    <row r="9" ht="85.5" customHeight="1">
      <c r="A9" t="n">
        <v>7</v>
      </c>
      <c r="B9">
        <f>$C$2&amp;"|"&amp;C9&amp;"$"&amp;$D$2&amp;"|"&amp;D9&amp;"$"&amp;$E$2&amp;"|"&amp;E9</f>
        <v/>
      </c>
      <c r="C9" t="n">
        <v>1</v>
      </c>
      <c r="D9" t="n">
        <v>1</v>
      </c>
      <c r="E9" t="n">
        <v>3</v>
      </c>
      <c r="F9" s="12">
        <f>H9&amp;"|"&amp;I9&amp;"|"&amp;J9&amp;"|"&amp;K9&amp;"|"&amp;L9&amp;"|"&amp;M9&amp;"|"&amp;N9&amp;"|"&amp;O9&amp;"|"&amp;P9</f>
        <v/>
      </c>
      <c r="G9" s="12" t="n"/>
      <c r="H9" t="inlineStr">
        <is>
          <t>可建造三级炼丹房</t>
        </is>
      </c>
      <c r="J9" t="inlineStr">
        <is>
          <t>源力上限+10</t>
        </is>
      </c>
      <c r="K9" t="inlineStr">
        <is>
          <t>解锁更多空地</t>
        </is>
      </c>
      <c r="L9" t="inlineStr">
        <is>
          <t>凡级灵树上限+1</t>
        </is>
      </c>
      <c r="M9" t="inlineStr">
        <is>
          <t>建筑等级上限+1</t>
        </is>
      </c>
      <c r="N9" t="inlineStr">
        <is>
          <t>弟子数量+3</t>
        </is>
      </c>
      <c r="Q9" t="inlineStr">
        <is>
          <t>7级建筑</t>
        </is>
      </c>
      <c r="R9" s="12">
        <f>$T$2&amp;"|"&amp;T9&amp;"$"&amp;$U$2&amp;"|"&amp;U9&amp;"$"&amp;$V$2&amp;"|"&amp;V9&amp;"$"&amp;$W$2&amp;"|"&amp;W9&amp;"$"&amp;$X$2&amp;"|"&amp;X9&amp;"$"&amp;$Y$2&amp;"|"&amp;Y9&amp;"$"&amp;$Z$2&amp;"|"&amp;Z9&amp;"$"&amp;$AA$2&amp;"|"&amp;AA9&amp;"$"&amp;$AB$2&amp;"|"&amp;AB9&amp;"$"&amp;$AC$2&amp;"|"&amp;AC9&amp;"$"&amp;$AD$2&amp;"|"&amp;AD9&amp;"$"&amp;$AE$2&amp;"|"&amp;AE9&amp;"$"&amp;$AF$2&amp;"|"&amp;AF9&amp;"$"&amp;$AG$2&amp;"|"&amp;AG9&amp;"$"&amp;$AH$2&amp;"|"&amp;AH9&amp;"$"&amp;$AI$2&amp;"|"&amp;AI9&amp;"$"&amp;$AJ$2&amp;"|"&amp;AJ9&amp;"$"&amp;$AK$2&amp;"|"&amp;AK9&amp;"$"&amp;$AL$2&amp;"|"&amp;AL9&amp;"$"&amp;$AM$2&amp;"|"&amp;AM9</f>
        <v/>
      </c>
      <c r="S9" s="11" t="n"/>
      <c r="T9" t="n">
        <v>2</v>
      </c>
      <c r="U9" t="n">
        <v>1</v>
      </c>
      <c r="V9" t="n">
        <v>2</v>
      </c>
      <c r="AA9" t="n">
        <v>2</v>
      </c>
      <c r="AF9" t="n">
        <v>1</v>
      </c>
      <c r="AK9" t="n">
        <v>1</v>
      </c>
      <c r="AL9" t="n">
        <v>1</v>
      </c>
      <c r="AM9" t="n">
        <v>1</v>
      </c>
      <c r="AN9" s="13" t="n">
        <v>7</v>
      </c>
      <c r="AO9">
        <f>SUM(T9:AM9)</f>
        <v/>
      </c>
      <c r="AP9" s="15" t="inlineStr">
        <is>
          <t>70</t>
        </is>
      </c>
    </row>
    <row r="10" ht="85.5" customHeight="1">
      <c r="A10" t="n">
        <v>8</v>
      </c>
      <c r="B10">
        <f>$C$2&amp;"|"&amp;C10&amp;"$"&amp;$D$2&amp;"|"&amp;D10&amp;"$"&amp;$E$2&amp;"|"&amp;E10</f>
        <v/>
      </c>
      <c r="C10" t="n">
        <v>1</v>
      </c>
      <c r="D10" t="n">
        <v>1</v>
      </c>
      <c r="E10" t="n">
        <v>3</v>
      </c>
      <c r="F10" s="12">
        <f>H10&amp;"|"&amp;I10&amp;"|"&amp;J10&amp;"|"&amp;K10&amp;"|"&amp;L10&amp;"|"&amp;M10&amp;"|"&amp;N10&amp;"|"&amp;O10&amp;"|"&amp;P10</f>
        <v/>
      </c>
      <c r="G10" s="12" t="n"/>
      <c r="J10" t="inlineStr">
        <is>
          <t>源力上限+10</t>
        </is>
      </c>
      <c r="M10" t="inlineStr">
        <is>
          <t>建筑等级上限+1</t>
        </is>
      </c>
      <c r="N10" t="inlineStr">
        <is>
          <t>弟子数量+3</t>
        </is>
      </c>
      <c r="Q10" t="inlineStr">
        <is>
          <t>8级建筑</t>
        </is>
      </c>
      <c r="R10" s="12">
        <f>$T$2&amp;"|"&amp;T10&amp;"$"&amp;$U$2&amp;"|"&amp;U10&amp;"$"&amp;$V$2&amp;"|"&amp;V10&amp;"$"&amp;$W$2&amp;"|"&amp;W10&amp;"$"&amp;$X$2&amp;"|"&amp;X10&amp;"$"&amp;$Y$2&amp;"|"&amp;Y10&amp;"$"&amp;$Z$2&amp;"|"&amp;Z10&amp;"$"&amp;$AA$2&amp;"|"&amp;AA10&amp;"$"&amp;$AB$2&amp;"|"&amp;AB10&amp;"$"&amp;$AC$2&amp;"|"&amp;AC10&amp;"$"&amp;$AD$2&amp;"|"&amp;AD10&amp;"$"&amp;$AE$2&amp;"|"&amp;AE10&amp;"$"&amp;$AF$2&amp;"|"&amp;AF10&amp;"$"&amp;$AG$2&amp;"|"&amp;AG10&amp;"$"&amp;$AH$2&amp;"|"&amp;AH10&amp;"$"&amp;$AI$2&amp;"|"&amp;AI10&amp;"$"&amp;$AJ$2&amp;"|"&amp;AJ10&amp;"$"&amp;$AK$2&amp;"|"&amp;AK10&amp;"$"&amp;$AL$2&amp;"|"&amp;AL10&amp;"$"&amp;$AM$2&amp;"|"&amp;AM10</f>
        <v/>
      </c>
      <c r="S10" s="11" t="n"/>
      <c r="T10" t="n">
        <v>2</v>
      </c>
      <c r="U10" t="n">
        <v>1</v>
      </c>
      <c r="V10" t="n">
        <v>2</v>
      </c>
      <c r="AA10" t="n">
        <v>2</v>
      </c>
      <c r="AF10" t="n">
        <v>1</v>
      </c>
      <c r="AK10" t="n">
        <v>1</v>
      </c>
      <c r="AL10" t="n">
        <v>1</v>
      </c>
      <c r="AM10" t="n">
        <v>1</v>
      </c>
      <c r="AN10" s="13" t="n">
        <v>8</v>
      </c>
      <c r="AO10">
        <f>SUM(T10:AM10)</f>
        <v/>
      </c>
      <c r="AP10" s="15" t="inlineStr">
        <is>
          <t>80</t>
        </is>
      </c>
    </row>
    <row r="11" ht="85.5" customHeight="1">
      <c r="A11" t="n">
        <v>9</v>
      </c>
      <c r="B11">
        <f>$C$2&amp;"|"&amp;C11&amp;"$"&amp;$D$2&amp;"|"&amp;D11&amp;"$"&amp;$E$2&amp;"|"&amp;E11</f>
        <v/>
      </c>
      <c r="C11" t="n">
        <v>1</v>
      </c>
      <c r="D11" t="n">
        <v>1</v>
      </c>
      <c r="E11" t="n">
        <v>3</v>
      </c>
      <c r="F11" s="12">
        <f>H11&amp;"|"&amp;I11&amp;"|"&amp;J11&amp;"|"&amp;K11&amp;"|"&amp;L11&amp;"|"&amp;M11&amp;"|"&amp;N11&amp;"|"&amp;O11&amp;"|"&amp;P11</f>
        <v/>
      </c>
      <c r="G11" s="12" t="n"/>
      <c r="J11" t="inlineStr">
        <is>
          <t>源力上限+10</t>
        </is>
      </c>
      <c r="M11" t="inlineStr">
        <is>
          <t>建筑等级上限+1</t>
        </is>
      </c>
      <c r="N11" t="inlineStr">
        <is>
          <t>弟子数量+3</t>
        </is>
      </c>
      <c r="Q11" t="inlineStr">
        <is>
          <t>9级建筑</t>
        </is>
      </c>
      <c r="R11" s="12">
        <f>$T$2&amp;"|"&amp;T11&amp;"$"&amp;$U$2&amp;"|"&amp;U11&amp;"$"&amp;$V$2&amp;"|"&amp;V11&amp;"$"&amp;$W$2&amp;"|"&amp;W11&amp;"$"&amp;$X$2&amp;"|"&amp;X11&amp;"$"&amp;$Y$2&amp;"|"&amp;Y11&amp;"$"&amp;$Z$2&amp;"|"&amp;Z11&amp;"$"&amp;$AA$2&amp;"|"&amp;AA11&amp;"$"&amp;$AB$2&amp;"|"&amp;AB11&amp;"$"&amp;$AC$2&amp;"|"&amp;AC11&amp;"$"&amp;$AD$2&amp;"|"&amp;AD11&amp;"$"&amp;$AE$2&amp;"|"&amp;AE11&amp;"$"&amp;$AF$2&amp;"|"&amp;AF11&amp;"$"&amp;$AG$2&amp;"|"&amp;AG11&amp;"$"&amp;$AH$2&amp;"|"&amp;AH11&amp;"$"&amp;$AI$2&amp;"|"&amp;AI11&amp;"$"&amp;$AJ$2&amp;"|"&amp;AJ11&amp;"$"&amp;$AK$2&amp;"|"&amp;AK11&amp;"$"&amp;$AL$2&amp;"|"&amp;AL11&amp;"$"&amp;$AM$2&amp;"|"&amp;AM11</f>
        <v/>
      </c>
      <c r="S11" s="11" t="n"/>
      <c r="T11" t="n">
        <v>2</v>
      </c>
      <c r="U11" t="n">
        <v>1</v>
      </c>
      <c r="V11" t="n">
        <v>2</v>
      </c>
      <c r="AA11" t="n">
        <v>2</v>
      </c>
      <c r="AF11" t="n">
        <v>1</v>
      </c>
      <c r="AK11" t="n">
        <v>1</v>
      </c>
      <c r="AL11" t="n">
        <v>1</v>
      </c>
      <c r="AM11" t="n">
        <v>1</v>
      </c>
      <c r="AN11" s="13" t="n">
        <v>9</v>
      </c>
      <c r="AO11">
        <f>SUM(T11:AM11)</f>
        <v/>
      </c>
      <c r="AP11" s="15" t="inlineStr">
        <is>
          <t>90</t>
        </is>
      </c>
    </row>
    <row r="12" ht="85.5" customHeight="1">
      <c r="A12" t="n">
        <v>10</v>
      </c>
      <c r="B12">
        <f>$C$2&amp;"|"&amp;C12&amp;"$"&amp;$D$2&amp;"|"&amp;D12&amp;"$"&amp;$E$2&amp;"|"&amp;E12</f>
        <v/>
      </c>
      <c r="C12" t="n">
        <v>1</v>
      </c>
      <c r="D12" t="n">
        <v>1</v>
      </c>
      <c r="E12" t="n">
        <v>3</v>
      </c>
      <c r="F12" s="12">
        <f>H12&amp;"|"&amp;I12&amp;"|"&amp;J12&amp;"|"&amp;K12&amp;"|"&amp;L12&amp;"|"&amp;M12&amp;"|"&amp;N12&amp;"|"&amp;O12&amp;"|"&amp;P12</f>
        <v/>
      </c>
      <c r="G12" s="12" t="n"/>
      <c r="J12" t="inlineStr">
        <is>
          <t>源力上限+10</t>
        </is>
      </c>
      <c r="M12" t="inlineStr">
        <is>
          <t>建筑等级上限+1</t>
        </is>
      </c>
      <c r="N12" t="inlineStr">
        <is>
          <t>弟子数量+3</t>
        </is>
      </c>
      <c r="Q12" t="inlineStr">
        <is>
          <t>10级建筑</t>
        </is>
      </c>
      <c r="R12" s="12">
        <f>$T$2&amp;"|"&amp;T12&amp;"$"&amp;$U$2&amp;"|"&amp;U12&amp;"$"&amp;$V$2&amp;"|"&amp;V12&amp;"$"&amp;$W$2&amp;"|"&amp;W12&amp;"$"&amp;$X$2&amp;"|"&amp;X12&amp;"$"&amp;$Y$2&amp;"|"&amp;Y12&amp;"$"&amp;$Z$2&amp;"|"&amp;Z12&amp;"$"&amp;$AA$2&amp;"|"&amp;AA12&amp;"$"&amp;$AB$2&amp;"|"&amp;AB12&amp;"$"&amp;$AC$2&amp;"|"&amp;AC12&amp;"$"&amp;$AD$2&amp;"|"&amp;AD12&amp;"$"&amp;$AE$2&amp;"|"&amp;AE12&amp;"$"&amp;$AF$2&amp;"|"&amp;AF12&amp;"$"&amp;$AG$2&amp;"|"&amp;AG12&amp;"$"&amp;$AH$2&amp;"|"&amp;AH12&amp;"$"&amp;$AI$2&amp;"|"&amp;AI12&amp;"$"&amp;$AJ$2&amp;"|"&amp;AJ12&amp;"$"&amp;$AK$2&amp;"|"&amp;AK12&amp;"$"&amp;$AL$2&amp;"|"&amp;AL12&amp;"$"&amp;$AM$2&amp;"|"&amp;AM12</f>
        <v/>
      </c>
      <c r="S12" s="11" t="n"/>
      <c r="T12" t="n">
        <v>2</v>
      </c>
      <c r="U12" t="n">
        <v>1</v>
      </c>
      <c r="V12" t="n">
        <v>2</v>
      </c>
      <c r="AA12" t="n">
        <v>2</v>
      </c>
      <c r="AF12" t="n">
        <v>1</v>
      </c>
      <c r="AK12" t="n">
        <v>1</v>
      </c>
      <c r="AL12" t="n">
        <v>1</v>
      </c>
      <c r="AM12" t="n">
        <v>1</v>
      </c>
      <c r="AN12" s="13" t="n">
        <v>10</v>
      </c>
      <c r="AO12">
        <f>SUM(T12:AM12)</f>
        <v/>
      </c>
      <c r="AP12" s="15" t="inlineStr">
        <is>
          <t>100</t>
        </is>
      </c>
    </row>
    <row r="13" ht="85.5" customHeight="1">
      <c r="A13" t="n">
        <v>11</v>
      </c>
      <c r="B13">
        <f>$C$2&amp;"|"&amp;C13&amp;"$"&amp;$D$2&amp;"|"&amp;D13&amp;"$"&amp;$E$2&amp;"|"&amp;E13</f>
        <v/>
      </c>
      <c r="C13" t="n">
        <v>2</v>
      </c>
      <c r="D13" t="n">
        <v>2</v>
      </c>
      <c r="E13" t="n">
        <v>4</v>
      </c>
      <c r="F13" s="12">
        <f>H13&amp;"|"&amp;I13&amp;"|"&amp;J13&amp;"|"&amp;K13&amp;"|"&amp;L13&amp;"|"&amp;M13&amp;"|"&amp;N13&amp;"|"&amp;O13&amp;"|"&amp;P13</f>
        <v/>
      </c>
      <c r="G13" s="12" t="inlineStr">
        <is>
          <t>可建造二级八卦炉</t>
        </is>
      </c>
      <c r="H13" t="inlineStr">
        <is>
          <t>可建造四级炼丹房</t>
        </is>
      </c>
      <c r="I13" t="inlineStr">
        <is>
          <t>可建造二级炼器房</t>
        </is>
      </c>
      <c r="J13" t="inlineStr">
        <is>
          <t>源力上限+10</t>
        </is>
      </c>
      <c r="K13" t="inlineStr">
        <is>
          <t>可以建造黄级矿场</t>
        </is>
      </c>
      <c r="L13" t="inlineStr">
        <is>
          <t>解锁更多空地</t>
        </is>
      </c>
      <c r="M13" t="inlineStr">
        <is>
          <t>建筑等级上限+1</t>
        </is>
      </c>
      <c r="N13" t="inlineStr">
        <is>
          <t>弟子数量+3</t>
        </is>
      </c>
      <c r="O13" t="inlineStr">
        <is>
          <t>可以建造黄级灵树</t>
        </is>
      </c>
      <c r="P13" t="inlineStr">
        <is>
          <t>可以建造黄级藏经阁</t>
        </is>
      </c>
      <c r="Q13" t="inlineStr">
        <is>
          <t>11级建筑</t>
        </is>
      </c>
      <c r="R13" s="12">
        <f>$T$2&amp;"|"&amp;T13&amp;"$"&amp;$U$2&amp;"|"&amp;U13&amp;"$"&amp;$V$2&amp;"|"&amp;V13&amp;"$"&amp;$W$2&amp;"|"&amp;W13&amp;"$"&amp;$X$2&amp;"|"&amp;X13&amp;"$"&amp;$Y$2&amp;"|"&amp;Y13&amp;"$"&amp;$Z$2&amp;"|"&amp;Z13&amp;"$"&amp;$AA$2&amp;"|"&amp;AA13&amp;"$"&amp;$AB$2&amp;"|"&amp;AB13&amp;"$"&amp;$AC$2&amp;"|"&amp;AC13&amp;"$"&amp;$AD$2&amp;"|"&amp;AD13&amp;"$"&amp;$AE$2&amp;"|"&amp;AE13&amp;"$"&amp;$AF$2&amp;"|"&amp;AF13&amp;"$"&amp;$AG$2&amp;"|"&amp;AG13&amp;"$"&amp;$AH$2&amp;"|"&amp;AH13&amp;"$"&amp;$AI$2&amp;"|"&amp;AI13&amp;"$"&amp;$AJ$2&amp;"|"&amp;AJ13&amp;"$"&amp;$AK$2&amp;"|"&amp;AK13&amp;"$"&amp;$AL$2&amp;"|"&amp;AL13&amp;"$"&amp;$AM$2&amp;"|"&amp;AM13</f>
        <v/>
      </c>
      <c r="S13" s="11" t="n"/>
      <c r="T13" t="n">
        <v>2</v>
      </c>
      <c r="U13" t="n">
        <v>1</v>
      </c>
      <c r="V13" t="n">
        <v>2</v>
      </c>
      <c r="W13" t="n">
        <v>1</v>
      </c>
      <c r="AA13" t="n">
        <v>2</v>
      </c>
      <c r="AB13" t="n">
        <v>1</v>
      </c>
      <c r="AF13" t="n">
        <v>1</v>
      </c>
      <c r="AG13" t="n">
        <v>1</v>
      </c>
      <c r="AK13" t="n">
        <v>1</v>
      </c>
      <c r="AL13" t="n">
        <v>1</v>
      </c>
      <c r="AM13" t="n">
        <v>1</v>
      </c>
      <c r="AN13" s="13" t="n">
        <v>11</v>
      </c>
      <c r="AO13">
        <f>SUM(T13:AM13)</f>
        <v/>
      </c>
      <c r="AP13" s="15" t="inlineStr">
        <is>
          <t>110</t>
        </is>
      </c>
    </row>
    <row r="14" ht="85.5" customHeight="1">
      <c r="A14" t="n">
        <v>12</v>
      </c>
      <c r="B14">
        <f>$C$2&amp;"|"&amp;C14&amp;"$"&amp;$D$2&amp;"|"&amp;D14&amp;"$"&amp;$E$2&amp;"|"&amp;E14</f>
        <v/>
      </c>
      <c r="C14" t="n">
        <v>2</v>
      </c>
      <c r="D14" t="n">
        <v>2</v>
      </c>
      <c r="E14" t="n">
        <v>4</v>
      </c>
      <c r="F14" s="12">
        <f>H14&amp;"|"&amp;I14&amp;"|"&amp;J14&amp;"|"&amp;K14&amp;"|"&amp;L14&amp;"|"&amp;M14&amp;"|"&amp;N14&amp;"|"&amp;O14&amp;"|"&amp;P14</f>
        <v/>
      </c>
      <c r="J14" t="inlineStr">
        <is>
          <t>源力上限+10</t>
        </is>
      </c>
      <c r="L14" t="inlineStr">
        <is>
          <t>灵田上限+1</t>
        </is>
      </c>
      <c r="M14" t="inlineStr">
        <is>
          <t>建筑等级上限+1</t>
        </is>
      </c>
      <c r="N14" t="inlineStr">
        <is>
          <t>弟子数量+3</t>
        </is>
      </c>
      <c r="R14" s="12">
        <f>$T$2&amp;"|"&amp;T14&amp;"$"&amp;$U$2&amp;"|"&amp;U14&amp;"$"&amp;$V$2&amp;"|"&amp;V14&amp;"$"&amp;$W$2&amp;"|"&amp;W14&amp;"$"&amp;$X$2&amp;"|"&amp;X14&amp;"$"&amp;$Y$2&amp;"|"&amp;Y14&amp;"$"&amp;$Z$2&amp;"|"&amp;Z14&amp;"$"&amp;$AA$2&amp;"|"&amp;AA14&amp;"$"&amp;$AB$2&amp;"|"&amp;AB14&amp;"$"&amp;$AC$2&amp;"|"&amp;AC14&amp;"$"&amp;$AD$2&amp;"|"&amp;AD14&amp;"$"&amp;$AE$2&amp;"|"&amp;AE14&amp;"$"&amp;$AF$2&amp;"|"&amp;AF14&amp;"$"&amp;$AG$2&amp;"|"&amp;AG14&amp;"$"&amp;$AH$2&amp;"|"&amp;AH14&amp;"$"&amp;$AI$2&amp;"|"&amp;AI14&amp;"$"&amp;$AJ$2&amp;"|"&amp;AJ14&amp;"$"&amp;$AK$2&amp;"|"&amp;AK14&amp;"$"&amp;$AL$2&amp;"|"&amp;AL14&amp;"$"&amp;$AM$2&amp;"|"&amp;AM14</f>
        <v/>
      </c>
      <c r="S14" s="11" t="n"/>
      <c r="T14" t="n">
        <v>3</v>
      </c>
      <c r="U14" t="n">
        <v>1</v>
      </c>
      <c r="V14" t="n">
        <v>2</v>
      </c>
      <c r="W14" t="n">
        <v>1</v>
      </c>
      <c r="AA14" t="n">
        <v>2</v>
      </c>
      <c r="AB14" t="n">
        <v>1</v>
      </c>
      <c r="AF14" t="n">
        <v>1</v>
      </c>
      <c r="AG14" t="n">
        <v>1</v>
      </c>
      <c r="AK14" t="n">
        <v>1</v>
      </c>
      <c r="AL14" t="n">
        <v>1</v>
      </c>
      <c r="AM14" t="n">
        <v>1</v>
      </c>
      <c r="AN14" s="13" t="n">
        <v>12</v>
      </c>
      <c r="AO14">
        <f>SUM(T14:AM14)</f>
        <v/>
      </c>
      <c r="AP14" s="15" t="inlineStr">
        <is>
          <t>120</t>
        </is>
      </c>
    </row>
    <row r="15" ht="85.5" customHeight="1">
      <c r="A15" t="n">
        <v>13</v>
      </c>
      <c r="B15">
        <f>$C$2&amp;"|"&amp;C15&amp;"$"&amp;$D$2&amp;"|"&amp;D15&amp;"$"&amp;$E$2&amp;"|"&amp;E15</f>
        <v/>
      </c>
      <c r="C15" t="n">
        <v>2</v>
      </c>
      <c r="D15" t="n">
        <v>2</v>
      </c>
      <c r="E15" t="n">
        <v>4</v>
      </c>
      <c r="F15" s="12">
        <f>H15&amp;"|"&amp;I15&amp;"|"&amp;J15&amp;"|"&amp;K15&amp;"|"&amp;L15&amp;"|"&amp;M15&amp;"|"&amp;N15&amp;"|"&amp;O15&amp;"|"&amp;P15</f>
        <v/>
      </c>
      <c r="J15" t="inlineStr">
        <is>
          <t>源力上限+10</t>
        </is>
      </c>
      <c r="M15" t="inlineStr">
        <is>
          <t>建筑等级上限+1</t>
        </is>
      </c>
      <c r="N15" t="inlineStr">
        <is>
          <t>弟子数量+3</t>
        </is>
      </c>
      <c r="R15" s="12">
        <f>$T$2&amp;"|"&amp;T15&amp;"$"&amp;$U$2&amp;"|"&amp;U15&amp;"$"&amp;$V$2&amp;"|"&amp;V15&amp;"$"&amp;$W$2&amp;"|"&amp;W15&amp;"$"&amp;$X$2&amp;"|"&amp;X15&amp;"$"&amp;$Y$2&amp;"|"&amp;Y15&amp;"$"&amp;$Z$2&amp;"|"&amp;Z15&amp;"$"&amp;$AA$2&amp;"|"&amp;AA15&amp;"$"&amp;$AB$2&amp;"|"&amp;AB15&amp;"$"&amp;$AC$2&amp;"|"&amp;AC15&amp;"$"&amp;$AD$2&amp;"|"&amp;AD15&amp;"$"&amp;$AE$2&amp;"|"&amp;AE15&amp;"$"&amp;$AF$2&amp;"|"&amp;AF15&amp;"$"&amp;$AG$2&amp;"|"&amp;AG15&amp;"$"&amp;$AH$2&amp;"|"&amp;AH15&amp;"$"&amp;$AI$2&amp;"|"&amp;AI15&amp;"$"&amp;$AJ$2&amp;"|"&amp;AJ15&amp;"$"&amp;$AK$2&amp;"|"&amp;AK15&amp;"$"&amp;$AL$2&amp;"|"&amp;AL15&amp;"$"&amp;$AM$2&amp;"|"&amp;AM15</f>
        <v/>
      </c>
      <c r="S15" s="11" t="n"/>
      <c r="T15" t="n">
        <v>3</v>
      </c>
      <c r="U15" t="n">
        <v>1</v>
      </c>
      <c r="V15" t="n">
        <v>2</v>
      </c>
      <c r="W15" t="n">
        <v>1</v>
      </c>
      <c r="AA15" t="n">
        <v>2</v>
      </c>
      <c r="AB15" t="n">
        <v>1</v>
      </c>
      <c r="AF15" t="n">
        <v>1</v>
      </c>
      <c r="AG15" t="n">
        <v>1</v>
      </c>
      <c r="AK15" t="n">
        <v>1</v>
      </c>
      <c r="AL15" t="n">
        <v>1</v>
      </c>
      <c r="AM15" t="n">
        <v>1</v>
      </c>
      <c r="AN15" s="13" t="n">
        <v>13</v>
      </c>
      <c r="AO15">
        <f>SUM(T15:AM15)</f>
        <v/>
      </c>
      <c r="AP15" s="15" t="inlineStr">
        <is>
          <t>130</t>
        </is>
      </c>
    </row>
    <row r="16" ht="85.5" customHeight="1">
      <c r="A16" t="n">
        <v>14</v>
      </c>
      <c r="B16">
        <f>$C$2&amp;"|"&amp;C16&amp;"$"&amp;$D$2&amp;"|"&amp;D16&amp;"$"&amp;$E$2&amp;"|"&amp;E16</f>
        <v/>
      </c>
      <c r="C16" t="n">
        <v>2</v>
      </c>
      <c r="D16" t="n">
        <v>2</v>
      </c>
      <c r="E16" t="n">
        <v>5</v>
      </c>
      <c r="F16" s="12">
        <f>H16&amp;"|"&amp;I16&amp;"|"&amp;J16&amp;"|"&amp;K16&amp;"|"&amp;L16&amp;"|"&amp;M16&amp;"|"&amp;N16&amp;"|"&amp;O16&amp;"|"&amp;P16</f>
        <v/>
      </c>
      <c r="H16" t="inlineStr">
        <is>
          <t>可建造五级炼丹房</t>
        </is>
      </c>
      <c r="J16" t="inlineStr">
        <is>
          <t>源力上限+10</t>
        </is>
      </c>
      <c r="M16" t="inlineStr">
        <is>
          <t>建筑等级上限+1</t>
        </is>
      </c>
      <c r="N16" t="inlineStr">
        <is>
          <t>弟子数量+3</t>
        </is>
      </c>
      <c r="R16" s="12">
        <f>$T$2&amp;"|"&amp;T16&amp;"$"&amp;$U$2&amp;"|"&amp;U16&amp;"$"&amp;$V$2&amp;"|"&amp;V16&amp;"$"&amp;$W$2&amp;"|"&amp;W16&amp;"$"&amp;$X$2&amp;"|"&amp;X16&amp;"$"&amp;$Y$2&amp;"|"&amp;Y16&amp;"$"&amp;$Z$2&amp;"|"&amp;Z16&amp;"$"&amp;$AA$2&amp;"|"&amp;AA16&amp;"$"&amp;$AB$2&amp;"|"&amp;AB16&amp;"$"&amp;$AC$2&amp;"|"&amp;AC16&amp;"$"&amp;$AD$2&amp;"|"&amp;AD16&amp;"$"&amp;$AE$2&amp;"|"&amp;AE16&amp;"$"&amp;$AF$2&amp;"|"&amp;AF16&amp;"$"&amp;$AG$2&amp;"|"&amp;AG16&amp;"$"&amp;$AH$2&amp;"|"&amp;AH16&amp;"$"&amp;$AI$2&amp;"|"&amp;AI16&amp;"$"&amp;$AJ$2&amp;"|"&amp;AJ16&amp;"$"&amp;$AK$2&amp;"|"&amp;AK16&amp;"$"&amp;$AL$2&amp;"|"&amp;AL16&amp;"$"&amp;$AM$2&amp;"|"&amp;AM16</f>
        <v/>
      </c>
      <c r="S16" s="11" t="n"/>
      <c r="T16" t="n">
        <v>3</v>
      </c>
      <c r="U16" t="n">
        <v>1</v>
      </c>
      <c r="V16" t="n">
        <v>2</v>
      </c>
      <c r="W16" t="n">
        <v>1</v>
      </c>
      <c r="AA16" t="n">
        <v>2</v>
      </c>
      <c r="AB16" t="n">
        <v>1</v>
      </c>
      <c r="AF16" t="n">
        <v>1</v>
      </c>
      <c r="AG16" t="n">
        <v>1</v>
      </c>
      <c r="AK16" t="n">
        <v>1</v>
      </c>
      <c r="AL16" t="n">
        <v>1</v>
      </c>
      <c r="AM16" t="n">
        <v>1</v>
      </c>
      <c r="AN16" s="13" t="n">
        <v>14</v>
      </c>
      <c r="AO16">
        <f>SUM(T16:AM16)</f>
        <v/>
      </c>
      <c r="AP16" s="15" t="inlineStr">
        <is>
          <t>140</t>
        </is>
      </c>
    </row>
    <row r="17" ht="85.5" customHeight="1">
      <c r="A17" t="n">
        <v>15</v>
      </c>
      <c r="B17">
        <f>$C$2&amp;"|"&amp;C17&amp;"$"&amp;$D$2&amp;"|"&amp;D17&amp;"$"&amp;$E$2&amp;"|"&amp;E17</f>
        <v/>
      </c>
      <c r="C17" t="n">
        <v>2</v>
      </c>
      <c r="D17" t="n">
        <v>2</v>
      </c>
      <c r="E17" t="n">
        <v>5</v>
      </c>
      <c r="F17" s="12">
        <f>H17&amp;"|"&amp;I17&amp;"|"&amp;J17&amp;"|"&amp;K17&amp;"|"&amp;L17&amp;"|"&amp;M17&amp;"|"&amp;N17&amp;"|"&amp;O17&amp;"|"&amp;P17</f>
        <v/>
      </c>
      <c r="J17" t="inlineStr">
        <is>
          <t>源力上限+10</t>
        </is>
      </c>
      <c r="M17" t="inlineStr">
        <is>
          <t>建筑等级上限+1</t>
        </is>
      </c>
      <c r="N17" t="inlineStr">
        <is>
          <t>弟子数量+3</t>
        </is>
      </c>
      <c r="R17" s="12">
        <f>$T$2&amp;"|"&amp;T17&amp;"$"&amp;$U$2&amp;"|"&amp;U17&amp;"$"&amp;$V$2&amp;"|"&amp;V17&amp;"$"&amp;$W$2&amp;"|"&amp;W17&amp;"$"&amp;$X$2&amp;"|"&amp;X17&amp;"$"&amp;$Y$2&amp;"|"&amp;Y17&amp;"$"&amp;$Z$2&amp;"|"&amp;Z17&amp;"$"&amp;$AA$2&amp;"|"&amp;AA17&amp;"$"&amp;$AB$2&amp;"|"&amp;AB17&amp;"$"&amp;$AC$2&amp;"|"&amp;AC17&amp;"$"&amp;$AD$2&amp;"|"&amp;AD17&amp;"$"&amp;$AE$2&amp;"|"&amp;AE17&amp;"$"&amp;$AF$2&amp;"|"&amp;AF17&amp;"$"&amp;$AG$2&amp;"|"&amp;AG17&amp;"$"&amp;$AH$2&amp;"|"&amp;AH17&amp;"$"&amp;$AI$2&amp;"|"&amp;AI17&amp;"$"&amp;$AJ$2&amp;"|"&amp;AJ17&amp;"$"&amp;$AK$2&amp;"|"&amp;AK17&amp;"$"&amp;$AL$2&amp;"|"&amp;AL17&amp;"$"&amp;$AM$2&amp;"|"&amp;AM17</f>
        <v/>
      </c>
      <c r="S17" s="11" t="n"/>
      <c r="T17" t="n">
        <v>3</v>
      </c>
      <c r="U17" t="n">
        <v>1</v>
      </c>
      <c r="V17" t="n">
        <v>2</v>
      </c>
      <c r="W17" t="n">
        <v>1</v>
      </c>
      <c r="AA17" t="n">
        <v>2</v>
      </c>
      <c r="AB17" t="n">
        <v>1</v>
      </c>
      <c r="AF17" t="n">
        <v>1</v>
      </c>
      <c r="AG17" t="n">
        <v>1</v>
      </c>
      <c r="AK17" t="n">
        <v>1</v>
      </c>
      <c r="AL17" t="n">
        <v>1</v>
      </c>
      <c r="AM17" t="n">
        <v>1</v>
      </c>
      <c r="AN17" s="13" t="n">
        <v>15</v>
      </c>
      <c r="AO17">
        <f>SUM(T17:AM17)</f>
        <v/>
      </c>
      <c r="AP17" s="15" t="inlineStr">
        <is>
          <t>150</t>
        </is>
      </c>
      <c r="AR17" t="inlineStr">
        <is>
          <t>总共55个位置</t>
        </is>
      </c>
    </row>
    <row r="18" ht="85.5" customHeight="1">
      <c r="A18" t="n">
        <v>16</v>
      </c>
      <c r="B18">
        <f>$C$2&amp;"|"&amp;C18&amp;"$"&amp;$D$2&amp;"|"&amp;D18&amp;"$"&amp;$E$2&amp;"|"&amp;E18</f>
        <v/>
      </c>
      <c r="C18" t="n">
        <v>2</v>
      </c>
      <c r="D18" t="n">
        <v>2</v>
      </c>
      <c r="E18" t="n">
        <v>5</v>
      </c>
      <c r="F18" s="12">
        <f>H18&amp;"|"&amp;I18&amp;"|"&amp;J18&amp;"|"&amp;K18&amp;"|"&amp;L18&amp;"|"&amp;M18&amp;"|"&amp;N18&amp;"|"&amp;O18&amp;"|"&amp;P18</f>
        <v/>
      </c>
      <c r="I18" t="inlineStr">
        <is>
          <t>解锁更多空地</t>
        </is>
      </c>
      <c r="K18" t="inlineStr">
        <is>
          <t>黄级矿场上限+1</t>
        </is>
      </c>
      <c r="L18" t="inlineStr">
        <is>
          <t>灵田上限+1</t>
        </is>
      </c>
      <c r="M18" t="inlineStr">
        <is>
          <t>建筑等级上限+1</t>
        </is>
      </c>
      <c r="N18" t="inlineStr">
        <is>
          <t>弟子数量+3</t>
        </is>
      </c>
      <c r="O18" t="inlineStr">
        <is>
          <t>黄级灵树上限+1</t>
        </is>
      </c>
      <c r="P18" t="inlineStr">
        <is>
          <t>黄级藏经阁上限+1</t>
        </is>
      </c>
      <c r="R18" s="12">
        <f>$T$2&amp;"|"&amp;T18&amp;"$"&amp;$U$2&amp;"|"&amp;U18&amp;"$"&amp;$V$2&amp;"|"&amp;V18&amp;"$"&amp;$W$2&amp;"|"&amp;W18&amp;"$"&amp;$X$2&amp;"|"&amp;X18&amp;"$"&amp;$Y$2&amp;"|"&amp;Y18&amp;"$"&amp;$Z$2&amp;"|"&amp;Z18&amp;"$"&amp;$AA$2&amp;"|"&amp;AA18&amp;"$"&amp;$AB$2&amp;"|"&amp;AB18&amp;"$"&amp;$AC$2&amp;"|"&amp;AC18&amp;"$"&amp;$AD$2&amp;"|"&amp;AD18&amp;"$"&amp;$AE$2&amp;"|"&amp;AE18&amp;"$"&amp;$AF$2&amp;"|"&amp;AF18&amp;"$"&amp;$AG$2&amp;"|"&amp;AG18&amp;"$"&amp;$AH$2&amp;"|"&amp;AH18&amp;"$"&amp;$AI$2&amp;"|"&amp;AI18&amp;"$"&amp;$AJ$2&amp;"|"&amp;AJ18&amp;"$"&amp;$AK$2&amp;"|"&amp;AK18&amp;"$"&amp;$AL$2&amp;"|"&amp;AL18&amp;"$"&amp;$AM$2&amp;"|"&amp;AM18</f>
        <v/>
      </c>
      <c r="S18" s="11" t="n"/>
      <c r="T18" t="n">
        <v>4</v>
      </c>
      <c r="U18" t="n">
        <v>1</v>
      </c>
      <c r="V18" t="n">
        <v>2</v>
      </c>
      <c r="W18" t="n">
        <v>2</v>
      </c>
      <c r="AA18" t="n">
        <v>2</v>
      </c>
      <c r="AB18" t="n">
        <v>2</v>
      </c>
      <c r="AF18" t="n">
        <v>2</v>
      </c>
      <c r="AG18" t="n">
        <v>2</v>
      </c>
      <c r="AK18" t="n">
        <v>1</v>
      </c>
      <c r="AL18" t="n">
        <v>1</v>
      </c>
      <c r="AM18" t="n">
        <v>1</v>
      </c>
      <c r="AN18" s="13" t="n">
        <v>16</v>
      </c>
      <c r="AO18">
        <f>SUM(T18:AM18)</f>
        <v/>
      </c>
      <c r="AP18" s="15" t="n"/>
    </row>
    <row r="19" ht="85.5" customHeight="1">
      <c r="A19" t="n">
        <v>17</v>
      </c>
      <c r="B19">
        <f>$C$2&amp;"|"&amp;C19&amp;"$"&amp;$D$2&amp;"|"&amp;D19&amp;"$"&amp;$E$2&amp;"|"&amp;E19</f>
        <v/>
      </c>
      <c r="C19" t="n">
        <v>2</v>
      </c>
      <c r="D19" t="n">
        <v>2</v>
      </c>
      <c r="E19" t="n">
        <v>6</v>
      </c>
      <c r="F19" s="12">
        <f>H19&amp;"|"&amp;I19&amp;"|"&amp;J19&amp;"|"&amp;K19&amp;"|"&amp;L19&amp;"|"&amp;M19&amp;"|"&amp;N19&amp;"|"&amp;O19&amp;"|"&amp;P19</f>
        <v/>
      </c>
      <c r="H19" t="inlineStr">
        <is>
          <t>可建造六级炼丹房</t>
        </is>
      </c>
      <c r="M19" t="inlineStr">
        <is>
          <t>建筑等级上限+1</t>
        </is>
      </c>
      <c r="N19" t="inlineStr">
        <is>
          <t>弟子数量+3</t>
        </is>
      </c>
      <c r="R19" s="12">
        <f>$T$2&amp;"|"&amp;T19&amp;"$"&amp;$U$2&amp;"|"&amp;U19&amp;"$"&amp;$V$2&amp;"|"&amp;V19&amp;"$"&amp;$W$2&amp;"|"&amp;W19&amp;"$"&amp;$X$2&amp;"|"&amp;X19&amp;"$"&amp;$Y$2&amp;"|"&amp;Y19&amp;"$"&amp;$Z$2&amp;"|"&amp;Z19&amp;"$"&amp;$AA$2&amp;"|"&amp;AA19&amp;"$"&amp;$AB$2&amp;"|"&amp;AB19&amp;"$"&amp;$AC$2&amp;"|"&amp;AC19&amp;"$"&amp;$AD$2&amp;"|"&amp;AD19&amp;"$"&amp;$AE$2&amp;"|"&amp;AE19&amp;"$"&amp;$AF$2&amp;"|"&amp;AF19&amp;"$"&amp;$AG$2&amp;"|"&amp;AG19&amp;"$"&amp;$AH$2&amp;"|"&amp;AH19&amp;"$"&amp;$AI$2&amp;"|"&amp;AI19&amp;"$"&amp;$AJ$2&amp;"|"&amp;AJ19&amp;"$"&amp;$AK$2&amp;"|"&amp;AK19&amp;"$"&amp;$AL$2&amp;"|"&amp;AL19&amp;"$"&amp;$AM$2&amp;"|"&amp;AM19</f>
        <v/>
      </c>
      <c r="S19" s="11" t="n"/>
      <c r="T19" t="n">
        <v>4</v>
      </c>
      <c r="U19" t="n">
        <v>1</v>
      </c>
      <c r="V19" t="n">
        <v>2</v>
      </c>
      <c r="W19" t="n">
        <v>2</v>
      </c>
      <c r="AA19" t="n">
        <v>2</v>
      </c>
      <c r="AB19" t="n">
        <v>2</v>
      </c>
      <c r="AF19" t="n">
        <v>2</v>
      </c>
      <c r="AG19" t="n">
        <v>2</v>
      </c>
      <c r="AK19" t="n">
        <v>1</v>
      </c>
      <c r="AL19" t="n">
        <v>1</v>
      </c>
      <c r="AM19" t="n">
        <v>1</v>
      </c>
      <c r="AN19" s="13" t="n">
        <v>17</v>
      </c>
      <c r="AO19">
        <f>SUM(T19:AM19)</f>
        <v/>
      </c>
      <c r="AP19" s="15" t="n"/>
    </row>
    <row r="20" ht="85.5" customHeight="1">
      <c r="A20" t="n">
        <v>18</v>
      </c>
      <c r="B20">
        <f>$C$2&amp;"|"&amp;C20&amp;"$"&amp;$D$2&amp;"|"&amp;D20&amp;"$"&amp;$E$2&amp;"|"&amp;E20</f>
        <v/>
      </c>
      <c r="C20" t="n">
        <v>2</v>
      </c>
      <c r="D20" t="n">
        <v>2</v>
      </c>
      <c r="E20" t="n">
        <v>6</v>
      </c>
      <c r="F20" s="12">
        <f>H20&amp;"|"&amp;I20&amp;"|"&amp;J20&amp;"|"&amp;K20&amp;"|"&amp;L20&amp;"|"&amp;M20&amp;"|"&amp;N20&amp;"|"&amp;O20&amp;"|"&amp;P20</f>
        <v/>
      </c>
      <c r="M20" t="inlineStr">
        <is>
          <t>建筑等级上限+1</t>
        </is>
      </c>
      <c r="N20" t="inlineStr">
        <is>
          <t>弟子数量+3</t>
        </is>
      </c>
      <c r="R20" s="12">
        <f>$T$2&amp;"|"&amp;T20&amp;"$"&amp;$U$2&amp;"|"&amp;U20&amp;"$"&amp;$V$2&amp;"|"&amp;V20&amp;"$"&amp;$W$2&amp;"|"&amp;W20&amp;"$"&amp;$X$2&amp;"|"&amp;X20&amp;"$"&amp;$Y$2&amp;"|"&amp;Y20&amp;"$"&amp;$Z$2&amp;"|"&amp;Z20&amp;"$"&amp;$AA$2&amp;"|"&amp;AA20&amp;"$"&amp;$AB$2&amp;"|"&amp;AB20&amp;"$"&amp;$AC$2&amp;"|"&amp;AC20&amp;"$"&amp;$AD$2&amp;"|"&amp;AD20&amp;"$"&amp;$AE$2&amp;"|"&amp;AE20&amp;"$"&amp;$AF$2&amp;"|"&amp;AF20&amp;"$"&amp;$AG$2&amp;"|"&amp;AG20&amp;"$"&amp;$AH$2&amp;"|"&amp;AH20&amp;"$"&amp;$AI$2&amp;"|"&amp;AI20&amp;"$"&amp;$AJ$2&amp;"|"&amp;AJ20&amp;"$"&amp;$AK$2&amp;"|"&amp;AK20&amp;"$"&amp;$AL$2&amp;"|"&amp;AL20&amp;"$"&amp;$AM$2&amp;"|"&amp;AM20</f>
        <v/>
      </c>
      <c r="S20" s="11" t="n"/>
      <c r="T20" t="n">
        <v>4</v>
      </c>
      <c r="U20" t="n">
        <v>1</v>
      </c>
      <c r="V20" t="n">
        <v>2</v>
      </c>
      <c r="W20" t="n">
        <v>2</v>
      </c>
      <c r="AA20" t="n">
        <v>2</v>
      </c>
      <c r="AB20" t="n">
        <v>2</v>
      </c>
      <c r="AF20" t="n">
        <v>2</v>
      </c>
      <c r="AG20" t="n">
        <v>2</v>
      </c>
      <c r="AK20" t="n">
        <v>1</v>
      </c>
      <c r="AL20" t="n">
        <v>1</v>
      </c>
      <c r="AM20" t="n">
        <v>1</v>
      </c>
      <c r="AN20" s="13" t="n">
        <v>18</v>
      </c>
      <c r="AO20">
        <f>SUM(T20:AM20)</f>
        <v/>
      </c>
      <c r="AP20" s="15" t="n"/>
    </row>
    <row r="21" ht="85.5" customHeight="1">
      <c r="A21" t="n">
        <v>19</v>
      </c>
      <c r="B21">
        <f>$C$2&amp;"|"&amp;C21&amp;"$"&amp;$D$2&amp;"|"&amp;D21&amp;"$"&amp;$E$2&amp;"|"&amp;E21</f>
        <v/>
      </c>
      <c r="C21" t="n">
        <v>2</v>
      </c>
      <c r="D21" t="n">
        <v>2</v>
      </c>
      <c r="E21" t="n">
        <v>6</v>
      </c>
      <c r="F21" s="12">
        <f>H21&amp;"|"&amp;I21&amp;"|"&amp;J21&amp;"|"&amp;K21&amp;"|"&amp;L21&amp;"|"&amp;M21&amp;"|"&amp;N21&amp;"|"&amp;O21&amp;"|"&amp;P21</f>
        <v/>
      </c>
      <c r="M21" t="inlineStr">
        <is>
          <t>建筑等级上限+1</t>
        </is>
      </c>
      <c r="N21" t="inlineStr">
        <is>
          <t>弟子数量+3</t>
        </is>
      </c>
      <c r="R21" s="12">
        <f>$T$2&amp;"|"&amp;T21&amp;"$"&amp;$U$2&amp;"|"&amp;U21&amp;"$"&amp;$V$2&amp;"|"&amp;V21&amp;"$"&amp;$W$2&amp;"|"&amp;W21&amp;"$"&amp;$X$2&amp;"|"&amp;X21&amp;"$"&amp;$Y$2&amp;"|"&amp;Y21&amp;"$"&amp;$Z$2&amp;"|"&amp;Z21&amp;"$"&amp;$AA$2&amp;"|"&amp;AA21&amp;"$"&amp;$AB$2&amp;"|"&amp;AB21&amp;"$"&amp;$AC$2&amp;"|"&amp;AC21&amp;"$"&amp;$AD$2&amp;"|"&amp;AD21&amp;"$"&amp;$AE$2&amp;"|"&amp;AE21&amp;"$"&amp;$AF$2&amp;"|"&amp;AF21&amp;"$"&amp;$AG$2&amp;"|"&amp;AG21&amp;"$"&amp;$AH$2&amp;"|"&amp;AH21&amp;"$"&amp;$AI$2&amp;"|"&amp;AI21&amp;"$"&amp;$AJ$2&amp;"|"&amp;AJ21&amp;"$"&amp;$AK$2&amp;"|"&amp;AK21&amp;"$"&amp;$AL$2&amp;"|"&amp;AL21&amp;"$"&amp;$AM$2&amp;"|"&amp;AM21</f>
        <v/>
      </c>
      <c r="T21" t="n">
        <v>4</v>
      </c>
      <c r="U21" t="n">
        <v>1</v>
      </c>
      <c r="V21" t="n">
        <v>2</v>
      </c>
      <c r="W21" t="n">
        <v>2</v>
      </c>
      <c r="AA21" t="n">
        <v>2</v>
      </c>
      <c r="AB21" t="n">
        <v>2</v>
      </c>
      <c r="AF21" t="n">
        <v>2</v>
      </c>
      <c r="AG21" t="n">
        <v>2</v>
      </c>
      <c r="AK21" t="n">
        <v>1</v>
      </c>
      <c r="AL21" t="n">
        <v>1</v>
      </c>
      <c r="AM21" t="n">
        <v>1</v>
      </c>
      <c r="AN21" s="13" t="n">
        <v>19</v>
      </c>
      <c r="AO21">
        <f>SUM(T21:AM21)</f>
        <v/>
      </c>
      <c r="AP21" s="15" t="n"/>
    </row>
    <row r="22" ht="85.5" customHeight="1">
      <c r="A22" t="n">
        <v>20</v>
      </c>
      <c r="B22">
        <f>$C$2&amp;"|"&amp;C22&amp;"$"&amp;$D$2&amp;"|"&amp;D22&amp;"$"&amp;$E$2&amp;"|"&amp;E22</f>
        <v/>
      </c>
      <c r="C22" t="n">
        <v>2</v>
      </c>
      <c r="D22" t="n">
        <v>2</v>
      </c>
      <c r="E22" t="n">
        <v>6</v>
      </c>
      <c r="F22" s="12">
        <f>H22&amp;"|"&amp;I22&amp;"|"&amp;J22&amp;"|"&amp;K22&amp;"|"&amp;L22&amp;"|"&amp;M22&amp;"|"&amp;N22&amp;"|"&amp;O22&amp;"|"&amp;P22</f>
        <v/>
      </c>
      <c r="M22" t="inlineStr">
        <is>
          <t>建筑等级上限+1</t>
        </is>
      </c>
      <c r="N22" t="inlineStr">
        <is>
          <t>弟子数量+3</t>
        </is>
      </c>
      <c r="R22" s="12">
        <f>$T$2&amp;"|"&amp;T22&amp;"$"&amp;$U$2&amp;"|"&amp;U22&amp;"$"&amp;$V$2&amp;"|"&amp;V22&amp;"$"&amp;$W$2&amp;"|"&amp;W22&amp;"$"&amp;$X$2&amp;"|"&amp;X22&amp;"$"&amp;$Y$2&amp;"|"&amp;Y22&amp;"$"&amp;$Z$2&amp;"|"&amp;Z22&amp;"$"&amp;$AA$2&amp;"|"&amp;AA22&amp;"$"&amp;$AB$2&amp;"|"&amp;AB22&amp;"$"&amp;$AC$2&amp;"|"&amp;AC22&amp;"$"&amp;$AD$2&amp;"|"&amp;AD22&amp;"$"&amp;$AE$2&amp;"|"&amp;AE22&amp;"$"&amp;$AF$2&amp;"|"&amp;AF22&amp;"$"&amp;$AG$2&amp;"|"&amp;AG22&amp;"$"&amp;$AH$2&amp;"|"&amp;AH22&amp;"$"&amp;$AI$2&amp;"|"&amp;AI22&amp;"$"&amp;$AJ$2&amp;"|"&amp;AJ22&amp;"$"&amp;$AK$2&amp;"|"&amp;AK22&amp;"$"&amp;$AL$2&amp;"|"&amp;AL22&amp;"$"&amp;$AM$2&amp;"|"&amp;AM22</f>
        <v/>
      </c>
      <c r="T22" t="n">
        <v>4</v>
      </c>
      <c r="U22" t="n">
        <v>1</v>
      </c>
      <c r="V22" t="n">
        <v>2</v>
      </c>
      <c r="W22" t="n">
        <v>2</v>
      </c>
      <c r="AA22" t="n">
        <v>2</v>
      </c>
      <c r="AB22" t="n">
        <v>2</v>
      </c>
      <c r="AF22" t="n">
        <v>2</v>
      </c>
      <c r="AG22" t="n">
        <v>2</v>
      </c>
      <c r="AK22" t="n">
        <v>1</v>
      </c>
      <c r="AL22" t="n">
        <v>1</v>
      </c>
      <c r="AM22" t="n">
        <v>1</v>
      </c>
      <c r="AN22" s="13" t="n">
        <v>20</v>
      </c>
      <c r="AO22">
        <f>SUM(T22:AM22)</f>
        <v/>
      </c>
      <c r="AP22" s="15" t="n"/>
    </row>
    <row r="23" ht="85.5" customHeight="1">
      <c r="A23" t="n">
        <v>21</v>
      </c>
      <c r="B23">
        <f>$C$2&amp;"|"&amp;C23&amp;"$"&amp;$D$2&amp;"|"&amp;D23&amp;"$"&amp;$E$2&amp;"|"&amp;E23</f>
        <v/>
      </c>
      <c r="C23" t="n">
        <v>3</v>
      </c>
      <c r="D23" t="n">
        <v>3</v>
      </c>
      <c r="E23" t="n">
        <v>7</v>
      </c>
      <c r="F23" s="12">
        <f>H23&amp;"|"&amp;I23&amp;"|"&amp;J23&amp;"|"&amp;K23&amp;"|"&amp;L23&amp;"|"&amp;M23&amp;"|"&amp;N23&amp;"|"&amp;O23&amp;"|"&amp;P23</f>
        <v/>
      </c>
      <c r="G23" t="inlineStr">
        <is>
          <t>可建造三级八卦炉</t>
        </is>
      </c>
      <c r="H23" t="inlineStr">
        <is>
          <t>可建造七级炼丹房</t>
        </is>
      </c>
      <c r="I23" t="inlineStr">
        <is>
          <t>解锁更多空地</t>
        </is>
      </c>
      <c r="J23" t="inlineStr">
        <is>
          <t>可建造三级炼器房</t>
        </is>
      </c>
      <c r="K23" t="inlineStr">
        <is>
          <t>可以建造玄级矿场</t>
        </is>
      </c>
      <c r="L23" t="inlineStr">
        <is>
          <t>灵田上限+1</t>
        </is>
      </c>
      <c r="M23" t="inlineStr">
        <is>
          <t>建筑等级上限+1</t>
        </is>
      </c>
      <c r="N23" t="inlineStr">
        <is>
          <t>弟子数量+3</t>
        </is>
      </c>
      <c r="O23" t="inlineStr">
        <is>
          <t>可以建造玄级灵树</t>
        </is>
      </c>
      <c r="P23" t="inlineStr">
        <is>
          <t>可以建造玄级藏经阁</t>
        </is>
      </c>
      <c r="R23" s="12">
        <f>$T$2&amp;"|"&amp;T23&amp;"$"&amp;$U$2&amp;"|"&amp;U23&amp;"$"&amp;$V$2&amp;"|"&amp;V23&amp;"$"&amp;$W$2&amp;"|"&amp;W23&amp;"$"&amp;$X$2&amp;"|"&amp;X23&amp;"$"&amp;$Y$2&amp;"|"&amp;Y23&amp;"$"&amp;$Z$2&amp;"|"&amp;Z23&amp;"$"&amp;$AA$2&amp;"|"&amp;AA23&amp;"$"&amp;$AB$2&amp;"|"&amp;AB23&amp;"$"&amp;$AC$2&amp;"|"&amp;AC23&amp;"$"&amp;$AD$2&amp;"|"&amp;AD23&amp;"$"&amp;$AE$2&amp;"|"&amp;AE23&amp;"$"&amp;$AF$2&amp;"|"&amp;AF23&amp;"$"&amp;$AG$2&amp;"|"&amp;AG23&amp;"$"&amp;$AH$2&amp;"|"&amp;AH23&amp;"$"&amp;$AI$2&amp;"|"&amp;AI23&amp;"$"&amp;$AJ$2&amp;"|"&amp;AJ23&amp;"$"&amp;$AK$2&amp;"|"&amp;AK23&amp;"$"&amp;$AL$2&amp;"|"&amp;AL23&amp;"$"&amp;$AM$2&amp;"|"&amp;AM23</f>
        <v/>
      </c>
      <c r="T23" t="n">
        <v>5</v>
      </c>
      <c r="U23" t="n">
        <v>1</v>
      </c>
      <c r="V23" t="n">
        <v>2</v>
      </c>
      <c r="W23" t="n">
        <v>2</v>
      </c>
      <c r="X23" t="n">
        <v>1</v>
      </c>
      <c r="AA23" t="n">
        <v>2</v>
      </c>
      <c r="AB23" t="n">
        <v>2</v>
      </c>
      <c r="AC23" t="n">
        <v>1</v>
      </c>
      <c r="AF23" t="n">
        <v>2</v>
      </c>
      <c r="AG23" t="n">
        <v>2</v>
      </c>
      <c r="AH23" t="n">
        <v>1</v>
      </c>
      <c r="AK23" t="n">
        <v>1</v>
      </c>
      <c r="AL23" t="n">
        <v>1</v>
      </c>
      <c r="AM23" t="n">
        <v>1</v>
      </c>
      <c r="AN23" s="13" t="n">
        <v>21</v>
      </c>
      <c r="AO23">
        <f>SUM(T23:AM23)</f>
        <v/>
      </c>
      <c r="AP23" s="15" t="n"/>
      <c r="AQ23" t="inlineStr">
        <is>
          <t>20-21需要2关boss材料</t>
        </is>
      </c>
    </row>
    <row r="24" ht="85.5" customHeight="1">
      <c r="A24" t="n">
        <v>22</v>
      </c>
      <c r="B24">
        <f>$C$2&amp;"|"&amp;C24&amp;"$"&amp;$D$2&amp;"|"&amp;D24&amp;"$"&amp;$E$2&amp;"|"&amp;E24</f>
        <v/>
      </c>
      <c r="C24" t="n">
        <v>3</v>
      </c>
      <c r="D24" t="n">
        <v>3</v>
      </c>
      <c r="E24" t="n">
        <v>7</v>
      </c>
      <c r="F24" s="12">
        <f>H24&amp;"|"&amp;I24&amp;"|"&amp;J24&amp;"|"&amp;K24&amp;"|"&amp;L24&amp;"|"&amp;M24&amp;"|"&amp;N24&amp;"|"&amp;O24&amp;"|"&amp;P24</f>
        <v/>
      </c>
      <c r="M24" t="inlineStr">
        <is>
          <t>建筑等级上限+1</t>
        </is>
      </c>
      <c r="N24" t="inlineStr">
        <is>
          <t>弟子数量+3</t>
        </is>
      </c>
      <c r="R24" s="12">
        <f>$T$2&amp;"|"&amp;T24&amp;"$"&amp;$U$2&amp;"|"&amp;U24&amp;"$"&amp;$V$2&amp;"|"&amp;V24&amp;"$"&amp;$W$2&amp;"|"&amp;W24&amp;"$"&amp;$X$2&amp;"|"&amp;X24&amp;"$"&amp;$Y$2&amp;"|"&amp;Y24&amp;"$"&amp;$Z$2&amp;"|"&amp;Z24&amp;"$"&amp;$AA$2&amp;"|"&amp;AA24&amp;"$"&amp;$AB$2&amp;"|"&amp;AB24&amp;"$"&amp;$AC$2&amp;"|"&amp;AC24&amp;"$"&amp;$AD$2&amp;"|"&amp;AD24&amp;"$"&amp;$AE$2&amp;"|"&amp;AE24&amp;"$"&amp;$AF$2&amp;"|"&amp;AF24&amp;"$"&amp;$AG$2&amp;"|"&amp;AG24&amp;"$"&amp;$AH$2&amp;"|"&amp;AH24&amp;"$"&amp;$AI$2&amp;"|"&amp;AI24&amp;"$"&amp;$AJ$2&amp;"|"&amp;AJ24&amp;"$"&amp;$AK$2&amp;"|"&amp;AK24&amp;"$"&amp;$AL$2&amp;"|"&amp;AL24&amp;"$"&amp;$AM$2&amp;"|"&amp;AM24</f>
        <v/>
      </c>
      <c r="T24" t="n">
        <v>5</v>
      </c>
      <c r="U24" t="n">
        <v>1</v>
      </c>
      <c r="V24" t="n">
        <v>2</v>
      </c>
      <c r="W24" t="n">
        <v>2</v>
      </c>
      <c r="X24" t="n">
        <v>1</v>
      </c>
      <c r="AA24" t="n">
        <v>2</v>
      </c>
      <c r="AB24" t="n">
        <v>2</v>
      </c>
      <c r="AC24" t="n">
        <v>1</v>
      </c>
      <c r="AF24" t="n">
        <v>2</v>
      </c>
      <c r="AG24" t="n">
        <v>2</v>
      </c>
      <c r="AH24" t="n">
        <v>1</v>
      </c>
      <c r="AK24" t="n">
        <v>1</v>
      </c>
      <c r="AL24" t="n">
        <v>1</v>
      </c>
      <c r="AM24" t="n">
        <v>1</v>
      </c>
      <c r="AN24" s="13" t="n">
        <v>22</v>
      </c>
      <c r="AO24">
        <f>SUM(T24:AM24)</f>
        <v/>
      </c>
      <c r="AP24" s="15" t="n"/>
    </row>
    <row r="25" ht="85.5" customHeight="1">
      <c r="A25" t="n">
        <v>23</v>
      </c>
      <c r="B25">
        <f>$C$2&amp;"|"&amp;C25&amp;"$"&amp;$D$2&amp;"|"&amp;D25&amp;"$"&amp;$E$2&amp;"|"&amp;E25</f>
        <v/>
      </c>
      <c r="C25" t="n">
        <v>3</v>
      </c>
      <c r="D25" t="n">
        <v>3</v>
      </c>
      <c r="E25" t="n">
        <v>7</v>
      </c>
      <c r="F25" s="12">
        <f>H25&amp;"|"&amp;I25&amp;"|"&amp;J25&amp;"|"&amp;K25&amp;"|"&amp;L25&amp;"|"&amp;M25&amp;"|"&amp;N25&amp;"|"&amp;O25&amp;"|"&amp;P25</f>
        <v/>
      </c>
      <c r="M25" t="inlineStr">
        <is>
          <t>建筑等级上限+1</t>
        </is>
      </c>
      <c r="N25" t="inlineStr">
        <is>
          <t>弟子数量+3</t>
        </is>
      </c>
      <c r="R25" s="12">
        <f>$T$2&amp;"|"&amp;T25&amp;"$"&amp;$U$2&amp;"|"&amp;U25&amp;"$"&amp;$V$2&amp;"|"&amp;V25&amp;"$"&amp;$W$2&amp;"|"&amp;W25&amp;"$"&amp;$X$2&amp;"|"&amp;X25&amp;"$"&amp;$Y$2&amp;"|"&amp;Y25&amp;"$"&amp;$Z$2&amp;"|"&amp;Z25&amp;"$"&amp;$AA$2&amp;"|"&amp;AA25&amp;"$"&amp;$AB$2&amp;"|"&amp;AB25&amp;"$"&amp;$AC$2&amp;"|"&amp;AC25&amp;"$"&amp;$AD$2&amp;"|"&amp;AD25&amp;"$"&amp;$AE$2&amp;"|"&amp;AE25&amp;"$"&amp;$AF$2&amp;"|"&amp;AF25&amp;"$"&amp;$AG$2&amp;"|"&amp;AG25&amp;"$"&amp;$AH$2&amp;"|"&amp;AH25&amp;"$"&amp;$AI$2&amp;"|"&amp;AI25&amp;"$"&amp;$AJ$2&amp;"|"&amp;AJ25&amp;"$"&amp;$AK$2&amp;"|"&amp;AK25&amp;"$"&amp;$AL$2&amp;"|"&amp;AL25&amp;"$"&amp;$AM$2&amp;"|"&amp;AM25</f>
        <v/>
      </c>
      <c r="T25" t="n">
        <v>5</v>
      </c>
      <c r="U25" t="n">
        <v>1</v>
      </c>
      <c r="V25" t="n">
        <v>2</v>
      </c>
      <c r="W25" t="n">
        <v>2</v>
      </c>
      <c r="X25" t="n">
        <v>1</v>
      </c>
      <c r="AA25" t="n">
        <v>2</v>
      </c>
      <c r="AB25" t="n">
        <v>2</v>
      </c>
      <c r="AC25" t="n">
        <v>1</v>
      </c>
      <c r="AF25" t="n">
        <v>2</v>
      </c>
      <c r="AG25" t="n">
        <v>2</v>
      </c>
      <c r="AH25" t="n">
        <v>1</v>
      </c>
      <c r="AK25" t="n">
        <v>1</v>
      </c>
      <c r="AL25" t="n">
        <v>1</v>
      </c>
      <c r="AM25" t="n">
        <v>1</v>
      </c>
      <c r="AN25" s="13" t="n">
        <v>23</v>
      </c>
      <c r="AO25">
        <f>SUM(T25:AM25)</f>
        <v/>
      </c>
      <c r="AP25" s="15" t="n"/>
    </row>
    <row r="26" ht="85.5" customHeight="1">
      <c r="A26" t="n">
        <v>24</v>
      </c>
      <c r="B26">
        <f>$C$2&amp;"|"&amp;C26&amp;"$"&amp;$D$2&amp;"|"&amp;D26&amp;"$"&amp;$E$2&amp;"|"&amp;E26</f>
        <v/>
      </c>
      <c r="C26" t="n">
        <v>3</v>
      </c>
      <c r="D26" t="n">
        <v>3</v>
      </c>
      <c r="E26" t="n">
        <v>8</v>
      </c>
      <c r="F26" s="12">
        <f>H26&amp;"|"&amp;I26&amp;"|"&amp;J26&amp;"|"&amp;K26&amp;"|"&amp;L26&amp;"|"&amp;M26&amp;"|"&amp;N26&amp;"|"&amp;O26&amp;"|"&amp;P26</f>
        <v/>
      </c>
      <c r="H26" t="inlineStr">
        <is>
          <t>可建造八级炼丹房</t>
        </is>
      </c>
      <c r="M26" t="inlineStr">
        <is>
          <t>建筑等级上限+1</t>
        </is>
      </c>
      <c r="N26" t="inlineStr">
        <is>
          <t>弟子数量+3</t>
        </is>
      </c>
      <c r="R26" s="12">
        <f>$T$2&amp;"|"&amp;T26&amp;"$"&amp;$U$2&amp;"|"&amp;U26&amp;"$"&amp;$V$2&amp;"|"&amp;V26&amp;"$"&amp;$W$2&amp;"|"&amp;W26&amp;"$"&amp;$X$2&amp;"|"&amp;X26&amp;"$"&amp;$Y$2&amp;"|"&amp;Y26&amp;"$"&amp;$Z$2&amp;"|"&amp;Z26&amp;"$"&amp;$AA$2&amp;"|"&amp;AA26&amp;"$"&amp;$AB$2&amp;"|"&amp;AB26&amp;"$"&amp;$AC$2&amp;"|"&amp;AC26&amp;"$"&amp;$AD$2&amp;"|"&amp;AD26&amp;"$"&amp;$AE$2&amp;"|"&amp;AE26&amp;"$"&amp;$AF$2&amp;"|"&amp;AF26&amp;"$"&amp;$AG$2&amp;"|"&amp;AG26&amp;"$"&amp;$AH$2&amp;"|"&amp;AH26&amp;"$"&amp;$AI$2&amp;"|"&amp;AI26&amp;"$"&amp;$AJ$2&amp;"|"&amp;AJ26&amp;"$"&amp;$AK$2&amp;"|"&amp;AK26&amp;"$"&amp;$AL$2&amp;"|"&amp;AL26&amp;"$"&amp;$AM$2&amp;"|"&amp;AM26</f>
        <v/>
      </c>
      <c r="T26" t="n">
        <v>5</v>
      </c>
      <c r="U26" t="n">
        <v>1</v>
      </c>
      <c r="V26" t="n">
        <v>2</v>
      </c>
      <c r="W26" t="n">
        <v>2</v>
      </c>
      <c r="X26" t="n">
        <v>1</v>
      </c>
      <c r="AA26" t="n">
        <v>2</v>
      </c>
      <c r="AB26" t="n">
        <v>2</v>
      </c>
      <c r="AC26" t="n">
        <v>1</v>
      </c>
      <c r="AF26" t="n">
        <v>2</v>
      </c>
      <c r="AG26" t="n">
        <v>2</v>
      </c>
      <c r="AH26" t="n">
        <v>1</v>
      </c>
      <c r="AK26" t="n">
        <v>1</v>
      </c>
      <c r="AL26" t="n">
        <v>1</v>
      </c>
      <c r="AM26" t="n">
        <v>1</v>
      </c>
      <c r="AN26" s="13" t="n">
        <v>24</v>
      </c>
      <c r="AO26">
        <f>SUM(T26:AM26)</f>
        <v/>
      </c>
      <c r="AP26" s="15" t="n"/>
    </row>
    <row r="27" ht="85.5" customHeight="1">
      <c r="A27" t="n">
        <v>25</v>
      </c>
      <c r="B27">
        <f>$C$2&amp;"|"&amp;C27&amp;"$"&amp;$D$2&amp;"|"&amp;D27&amp;"$"&amp;$E$2&amp;"|"&amp;E27</f>
        <v/>
      </c>
      <c r="C27" t="n">
        <v>3</v>
      </c>
      <c r="D27" t="n">
        <v>3</v>
      </c>
      <c r="E27" t="n">
        <v>8</v>
      </c>
      <c r="F27" s="12">
        <f>H27&amp;"|"&amp;I27&amp;"|"&amp;J27&amp;"|"&amp;K27&amp;"|"&amp;L27&amp;"|"&amp;M27&amp;"|"&amp;N27&amp;"|"&amp;O27&amp;"|"&amp;P27</f>
        <v/>
      </c>
      <c r="M27" t="inlineStr">
        <is>
          <t>建筑等级上限+1</t>
        </is>
      </c>
      <c r="N27" t="inlineStr">
        <is>
          <t>弟子数量+3</t>
        </is>
      </c>
      <c r="R27" s="12">
        <f>$T$2&amp;"|"&amp;T27&amp;"$"&amp;$U$2&amp;"|"&amp;U27&amp;"$"&amp;$V$2&amp;"|"&amp;V27&amp;"$"&amp;$W$2&amp;"|"&amp;W27&amp;"$"&amp;$X$2&amp;"|"&amp;X27&amp;"$"&amp;$Y$2&amp;"|"&amp;Y27&amp;"$"&amp;$Z$2&amp;"|"&amp;Z27&amp;"$"&amp;$AA$2&amp;"|"&amp;AA27&amp;"$"&amp;$AB$2&amp;"|"&amp;AB27&amp;"$"&amp;$AC$2&amp;"|"&amp;AC27&amp;"$"&amp;$AD$2&amp;"|"&amp;AD27&amp;"$"&amp;$AE$2&amp;"|"&amp;AE27&amp;"$"&amp;$AF$2&amp;"|"&amp;AF27&amp;"$"&amp;$AG$2&amp;"|"&amp;AG27&amp;"$"&amp;$AH$2&amp;"|"&amp;AH27&amp;"$"&amp;$AI$2&amp;"|"&amp;AI27&amp;"$"&amp;$AJ$2&amp;"|"&amp;AJ27&amp;"$"&amp;$AK$2&amp;"|"&amp;AK27&amp;"$"&amp;$AL$2&amp;"|"&amp;AL27&amp;"$"&amp;$AM$2&amp;"|"&amp;AM27</f>
        <v/>
      </c>
      <c r="T27" t="n">
        <v>5</v>
      </c>
      <c r="U27" t="n">
        <v>1</v>
      </c>
      <c r="V27" t="n">
        <v>2</v>
      </c>
      <c r="W27" t="n">
        <v>2</v>
      </c>
      <c r="X27" t="n">
        <v>1</v>
      </c>
      <c r="AA27" t="n">
        <v>2</v>
      </c>
      <c r="AB27" t="n">
        <v>2</v>
      </c>
      <c r="AC27" t="n">
        <v>1</v>
      </c>
      <c r="AF27" t="n">
        <v>2</v>
      </c>
      <c r="AG27" t="n">
        <v>2</v>
      </c>
      <c r="AH27" t="n">
        <v>1</v>
      </c>
      <c r="AK27" t="n">
        <v>1</v>
      </c>
      <c r="AL27" t="n">
        <v>1</v>
      </c>
      <c r="AM27" t="n">
        <v>1</v>
      </c>
      <c r="AN27" s="13" t="n">
        <v>25</v>
      </c>
      <c r="AO27">
        <f>SUM(T27:AM27)</f>
        <v/>
      </c>
      <c r="AP27" s="15" t="n"/>
    </row>
    <row r="28" ht="85.5" customHeight="1">
      <c r="A28" t="n">
        <v>26</v>
      </c>
      <c r="B28">
        <f>$C$2&amp;"|"&amp;C28&amp;"$"&amp;$D$2&amp;"|"&amp;D28&amp;"$"&amp;$E$2&amp;"|"&amp;E28</f>
        <v/>
      </c>
      <c r="C28" t="n">
        <v>3</v>
      </c>
      <c r="D28" t="n">
        <v>3</v>
      </c>
      <c r="E28" t="n">
        <v>8</v>
      </c>
      <c r="F28" s="12">
        <f>H28&amp;"|"&amp;I28&amp;"|"&amp;J28&amp;"|"&amp;K28&amp;"|"&amp;L28&amp;"|"&amp;M28&amp;"|"&amp;N28&amp;"|"&amp;O28&amp;"|"&amp;P28</f>
        <v/>
      </c>
      <c r="I28" t="inlineStr">
        <is>
          <t>解锁更多空地</t>
        </is>
      </c>
      <c r="K28" t="inlineStr">
        <is>
          <t>玄级矿场上限+1</t>
        </is>
      </c>
      <c r="L28" t="inlineStr">
        <is>
          <t>灵田上限+1</t>
        </is>
      </c>
      <c r="M28" t="inlineStr">
        <is>
          <t>建筑等级上限+1</t>
        </is>
      </c>
      <c r="N28" t="inlineStr">
        <is>
          <t>弟子数量+3</t>
        </is>
      </c>
      <c r="O28" t="inlineStr">
        <is>
          <t>玄级灵树上限+1</t>
        </is>
      </c>
      <c r="P28" t="inlineStr">
        <is>
          <t>玄级藏经阁上限+1</t>
        </is>
      </c>
      <c r="R28" s="12">
        <f>$T$2&amp;"|"&amp;T28&amp;"$"&amp;$U$2&amp;"|"&amp;U28&amp;"$"&amp;$V$2&amp;"|"&amp;V28&amp;"$"&amp;$W$2&amp;"|"&amp;W28&amp;"$"&amp;$X$2&amp;"|"&amp;X28&amp;"$"&amp;$Y$2&amp;"|"&amp;Y28&amp;"$"&amp;$Z$2&amp;"|"&amp;Z28&amp;"$"&amp;$AA$2&amp;"|"&amp;AA28&amp;"$"&amp;$AB$2&amp;"|"&amp;AB28&amp;"$"&amp;$AC$2&amp;"|"&amp;AC28&amp;"$"&amp;$AD$2&amp;"|"&amp;AD28&amp;"$"&amp;$AE$2&amp;"|"&amp;AE28&amp;"$"&amp;$AF$2&amp;"|"&amp;AF28&amp;"$"&amp;$AG$2&amp;"|"&amp;AG28&amp;"$"&amp;$AH$2&amp;"|"&amp;AH28&amp;"$"&amp;$AI$2&amp;"|"&amp;AI28&amp;"$"&amp;$AJ$2&amp;"|"&amp;AJ28&amp;"$"&amp;$AK$2&amp;"|"&amp;AK28&amp;"$"&amp;$AL$2&amp;"|"&amp;AL28&amp;"$"&amp;$AM$2&amp;"|"&amp;AM28</f>
        <v/>
      </c>
      <c r="T28" t="n">
        <v>6</v>
      </c>
      <c r="U28" t="n">
        <v>1</v>
      </c>
      <c r="V28" t="n">
        <v>2</v>
      </c>
      <c r="W28" t="n">
        <v>2</v>
      </c>
      <c r="X28" t="n">
        <v>2</v>
      </c>
      <c r="AA28" t="n">
        <v>2</v>
      </c>
      <c r="AB28" t="n">
        <v>2</v>
      </c>
      <c r="AC28" t="n">
        <v>2</v>
      </c>
      <c r="AF28" t="n">
        <v>2</v>
      </c>
      <c r="AG28" t="n">
        <v>2</v>
      </c>
      <c r="AH28" t="n">
        <v>2</v>
      </c>
      <c r="AK28" t="n">
        <v>1</v>
      </c>
      <c r="AL28" t="n">
        <v>1</v>
      </c>
      <c r="AM28" t="n">
        <v>1</v>
      </c>
      <c r="AN28" s="13" t="n">
        <v>26</v>
      </c>
      <c r="AO28">
        <f>SUM(T28:AM28)</f>
        <v/>
      </c>
      <c r="AP28" s="15" t="n"/>
    </row>
    <row r="29" ht="85.5" customHeight="1">
      <c r="A29" t="n">
        <v>27</v>
      </c>
      <c r="B29">
        <f>$C$2&amp;"|"&amp;C29&amp;"$"&amp;$D$2&amp;"|"&amp;D29&amp;"$"&amp;$E$2&amp;"|"&amp;E29</f>
        <v/>
      </c>
      <c r="C29" t="n">
        <v>3</v>
      </c>
      <c r="D29" t="n">
        <v>3</v>
      </c>
      <c r="E29" t="n">
        <v>9</v>
      </c>
      <c r="F29" s="12">
        <f>H29&amp;"|"&amp;I29&amp;"|"&amp;J29&amp;"|"&amp;K29&amp;"|"&amp;L29&amp;"|"&amp;M29&amp;"|"&amp;N29&amp;"|"&amp;O29&amp;"|"&amp;P29</f>
        <v/>
      </c>
      <c r="H29" t="inlineStr">
        <is>
          <t>可建造九级炼丹房</t>
        </is>
      </c>
      <c r="M29" t="inlineStr">
        <is>
          <t>建筑等级上限+1</t>
        </is>
      </c>
      <c r="N29" t="inlineStr">
        <is>
          <t>弟子数量+3</t>
        </is>
      </c>
      <c r="R29" s="12">
        <f>$T$2&amp;"|"&amp;T29&amp;"$"&amp;$U$2&amp;"|"&amp;U29&amp;"$"&amp;$V$2&amp;"|"&amp;V29&amp;"$"&amp;$W$2&amp;"|"&amp;W29&amp;"$"&amp;$X$2&amp;"|"&amp;X29&amp;"$"&amp;$Y$2&amp;"|"&amp;Y29&amp;"$"&amp;$Z$2&amp;"|"&amp;Z29&amp;"$"&amp;$AA$2&amp;"|"&amp;AA29&amp;"$"&amp;$AB$2&amp;"|"&amp;AB29&amp;"$"&amp;$AC$2&amp;"|"&amp;AC29&amp;"$"&amp;$AD$2&amp;"|"&amp;AD29&amp;"$"&amp;$AE$2&amp;"|"&amp;AE29&amp;"$"&amp;$AF$2&amp;"|"&amp;AF29&amp;"$"&amp;$AG$2&amp;"|"&amp;AG29&amp;"$"&amp;$AH$2&amp;"|"&amp;AH29&amp;"$"&amp;$AI$2&amp;"|"&amp;AI29&amp;"$"&amp;$AJ$2&amp;"|"&amp;AJ29&amp;"$"&amp;$AK$2&amp;"|"&amp;AK29&amp;"$"&amp;$AL$2&amp;"|"&amp;AL29&amp;"$"&amp;$AM$2&amp;"|"&amp;AM29</f>
        <v/>
      </c>
      <c r="T29" t="n">
        <v>6</v>
      </c>
      <c r="U29" t="n">
        <v>1</v>
      </c>
      <c r="V29" t="n">
        <v>2</v>
      </c>
      <c r="W29" t="n">
        <v>2</v>
      </c>
      <c r="X29" t="n">
        <v>2</v>
      </c>
      <c r="AA29" t="n">
        <v>2</v>
      </c>
      <c r="AB29" t="n">
        <v>2</v>
      </c>
      <c r="AC29" t="n">
        <v>2</v>
      </c>
      <c r="AF29" t="n">
        <v>2</v>
      </c>
      <c r="AG29" t="n">
        <v>2</v>
      </c>
      <c r="AH29" t="n">
        <v>2</v>
      </c>
      <c r="AK29" t="n">
        <v>1</v>
      </c>
      <c r="AL29" t="n">
        <v>1</v>
      </c>
      <c r="AM29" t="n">
        <v>1</v>
      </c>
      <c r="AN29" s="13" t="n">
        <v>27</v>
      </c>
      <c r="AO29">
        <f>SUM(T29:AM29)</f>
        <v/>
      </c>
      <c r="AP29" s="15" t="n"/>
    </row>
    <row r="30" ht="85.5" customHeight="1">
      <c r="A30" t="n">
        <v>28</v>
      </c>
      <c r="B30">
        <f>$C$2&amp;"|"&amp;C30&amp;"$"&amp;$D$2&amp;"|"&amp;D30&amp;"$"&amp;$E$2&amp;"|"&amp;E30</f>
        <v/>
      </c>
      <c r="C30" t="n">
        <v>3</v>
      </c>
      <c r="D30" t="n">
        <v>3</v>
      </c>
      <c r="E30" t="n">
        <v>9</v>
      </c>
      <c r="F30" s="12">
        <f>H30&amp;"|"&amp;I30&amp;"|"&amp;J30&amp;"|"&amp;K30&amp;"|"&amp;L30&amp;"|"&amp;M30&amp;"|"&amp;N30&amp;"|"&amp;O30&amp;"|"&amp;P30</f>
        <v/>
      </c>
      <c r="M30" t="inlineStr">
        <is>
          <t>建筑等级上限+1</t>
        </is>
      </c>
      <c r="N30" t="inlineStr">
        <is>
          <t>弟子数量+3</t>
        </is>
      </c>
      <c r="R30" s="12">
        <f>$T$2&amp;"|"&amp;T30&amp;"$"&amp;$U$2&amp;"|"&amp;U30&amp;"$"&amp;$V$2&amp;"|"&amp;V30&amp;"$"&amp;$W$2&amp;"|"&amp;W30&amp;"$"&amp;$X$2&amp;"|"&amp;X30&amp;"$"&amp;$Y$2&amp;"|"&amp;Y30&amp;"$"&amp;$Z$2&amp;"|"&amp;Z30&amp;"$"&amp;$AA$2&amp;"|"&amp;AA30&amp;"$"&amp;$AB$2&amp;"|"&amp;AB30&amp;"$"&amp;$AC$2&amp;"|"&amp;AC30&amp;"$"&amp;$AD$2&amp;"|"&amp;AD30&amp;"$"&amp;$AE$2&amp;"|"&amp;AE30&amp;"$"&amp;$AF$2&amp;"|"&amp;AF30&amp;"$"&amp;$AG$2&amp;"|"&amp;AG30&amp;"$"&amp;$AH$2&amp;"|"&amp;AH30&amp;"$"&amp;$AI$2&amp;"|"&amp;AI30&amp;"$"&amp;$AJ$2&amp;"|"&amp;AJ30&amp;"$"&amp;$AK$2&amp;"|"&amp;AK30&amp;"$"&amp;$AL$2&amp;"|"&amp;AL30&amp;"$"&amp;$AM$2&amp;"|"&amp;AM30</f>
        <v/>
      </c>
      <c r="T30" t="n">
        <v>6</v>
      </c>
      <c r="U30" t="n">
        <v>1</v>
      </c>
      <c r="V30" t="n">
        <v>2</v>
      </c>
      <c r="W30" t="n">
        <v>2</v>
      </c>
      <c r="X30" t="n">
        <v>2</v>
      </c>
      <c r="AA30" t="n">
        <v>2</v>
      </c>
      <c r="AB30" t="n">
        <v>2</v>
      </c>
      <c r="AC30" t="n">
        <v>2</v>
      </c>
      <c r="AF30" t="n">
        <v>2</v>
      </c>
      <c r="AG30" t="n">
        <v>2</v>
      </c>
      <c r="AH30" t="n">
        <v>2</v>
      </c>
      <c r="AK30" t="n">
        <v>1</v>
      </c>
      <c r="AL30" t="n">
        <v>1</v>
      </c>
      <c r="AM30" t="n">
        <v>1</v>
      </c>
      <c r="AN30" s="13" t="n">
        <v>28</v>
      </c>
      <c r="AO30">
        <f>SUM(T30:AM30)</f>
        <v/>
      </c>
      <c r="AP30" s="15" t="n"/>
    </row>
    <row r="31" ht="85.5" customHeight="1">
      <c r="A31" t="n">
        <v>29</v>
      </c>
      <c r="B31">
        <f>$C$2&amp;"|"&amp;C31&amp;"$"&amp;$D$2&amp;"|"&amp;D31&amp;"$"&amp;$E$2&amp;"|"&amp;E31</f>
        <v/>
      </c>
      <c r="C31" t="n">
        <v>3</v>
      </c>
      <c r="D31" t="n">
        <v>3</v>
      </c>
      <c r="E31" t="n">
        <v>9</v>
      </c>
      <c r="F31" s="12">
        <f>H31&amp;"|"&amp;I31&amp;"|"&amp;J31&amp;"|"&amp;K31&amp;"|"&amp;L31&amp;"|"&amp;M31&amp;"|"&amp;N31&amp;"|"&amp;O31&amp;"|"&amp;P31</f>
        <v/>
      </c>
      <c r="M31" t="inlineStr">
        <is>
          <t>建筑等级上限+1</t>
        </is>
      </c>
      <c r="N31" t="inlineStr">
        <is>
          <t>弟子数量+3</t>
        </is>
      </c>
      <c r="R31" s="12">
        <f>$T$2&amp;"|"&amp;T31&amp;"$"&amp;$U$2&amp;"|"&amp;U31&amp;"$"&amp;$V$2&amp;"|"&amp;V31&amp;"$"&amp;$W$2&amp;"|"&amp;W31&amp;"$"&amp;$X$2&amp;"|"&amp;X31&amp;"$"&amp;$Y$2&amp;"|"&amp;Y31&amp;"$"&amp;$Z$2&amp;"|"&amp;Z31&amp;"$"&amp;$AA$2&amp;"|"&amp;AA31&amp;"$"&amp;$AB$2&amp;"|"&amp;AB31&amp;"$"&amp;$AC$2&amp;"|"&amp;AC31&amp;"$"&amp;$AD$2&amp;"|"&amp;AD31&amp;"$"&amp;$AE$2&amp;"|"&amp;AE31&amp;"$"&amp;$AF$2&amp;"|"&amp;AF31&amp;"$"&amp;$AG$2&amp;"|"&amp;AG31&amp;"$"&amp;$AH$2&amp;"|"&amp;AH31&amp;"$"&amp;$AI$2&amp;"|"&amp;AI31&amp;"$"&amp;$AJ$2&amp;"|"&amp;AJ31&amp;"$"&amp;$AK$2&amp;"|"&amp;AK31&amp;"$"&amp;$AL$2&amp;"|"&amp;AL31&amp;"$"&amp;$AM$2&amp;"|"&amp;AM31</f>
        <v/>
      </c>
      <c r="T31" t="n">
        <v>6</v>
      </c>
      <c r="U31" t="n">
        <v>1</v>
      </c>
      <c r="V31" t="n">
        <v>2</v>
      </c>
      <c r="W31" t="n">
        <v>2</v>
      </c>
      <c r="X31" t="n">
        <v>2</v>
      </c>
      <c r="AA31" t="n">
        <v>2</v>
      </c>
      <c r="AB31" t="n">
        <v>2</v>
      </c>
      <c r="AC31" t="n">
        <v>2</v>
      </c>
      <c r="AF31" t="n">
        <v>2</v>
      </c>
      <c r="AG31" t="n">
        <v>2</v>
      </c>
      <c r="AH31" t="n">
        <v>2</v>
      </c>
      <c r="AK31" t="n">
        <v>1</v>
      </c>
      <c r="AL31" t="n">
        <v>1</v>
      </c>
      <c r="AM31" t="n">
        <v>1</v>
      </c>
      <c r="AN31" s="13" t="n">
        <v>29</v>
      </c>
      <c r="AO31">
        <f>SUM(T31:AM31)</f>
        <v/>
      </c>
      <c r="AP31" s="15" t="n"/>
    </row>
    <row r="32" ht="85.5" customHeight="1">
      <c r="A32" t="n">
        <v>30</v>
      </c>
      <c r="B32">
        <f>$C$2&amp;"|"&amp;C32&amp;"$"&amp;$D$2&amp;"|"&amp;D32&amp;"$"&amp;$E$2&amp;"|"&amp;E32</f>
        <v/>
      </c>
      <c r="C32" t="n">
        <v>3</v>
      </c>
      <c r="D32" t="n">
        <v>3</v>
      </c>
      <c r="E32" t="n">
        <v>9</v>
      </c>
      <c r="F32" s="12">
        <f>H32&amp;"|"&amp;I32&amp;"|"&amp;J32&amp;"|"&amp;K32&amp;"|"&amp;L32&amp;"|"&amp;M32&amp;"|"&amp;N32&amp;"|"&amp;O32&amp;"|"&amp;P32</f>
        <v/>
      </c>
      <c r="M32" t="inlineStr">
        <is>
          <t>建筑等级上限+1</t>
        </is>
      </c>
      <c r="N32" t="inlineStr">
        <is>
          <t>弟子数量+3</t>
        </is>
      </c>
      <c r="R32" s="12">
        <f>$T$2&amp;"|"&amp;T32&amp;"$"&amp;$U$2&amp;"|"&amp;U32&amp;"$"&amp;$V$2&amp;"|"&amp;V32&amp;"$"&amp;$W$2&amp;"|"&amp;W32&amp;"$"&amp;$X$2&amp;"|"&amp;X32&amp;"$"&amp;$Y$2&amp;"|"&amp;Y32&amp;"$"&amp;$Z$2&amp;"|"&amp;Z32&amp;"$"&amp;$AA$2&amp;"|"&amp;AA32&amp;"$"&amp;$AB$2&amp;"|"&amp;AB32&amp;"$"&amp;$AC$2&amp;"|"&amp;AC32&amp;"$"&amp;$AD$2&amp;"|"&amp;AD32&amp;"$"&amp;$AE$2&amp;"|"&amp;AE32&amp;"$"&amp;$AF$2&amp;"|"&amp;AF32&amp;"$"&amp;$AG$2&amp;"|"&amp;AG32&amp;"$"&amp;$AH$2&amp;"|"&amp;AH32&amp;"$"&amp;$AI$2&amp;"|"&amp;AI32&amp;"$"&amp;$AJ$2&amp;"|"&amp;AJ32&amp;"$"&amp;$AK$2&amp;"|"&amp;AK32&amp;"$"&amp;$AL$2&amp;"|"&amp;AL32&amp;"$"&amp;$AM$2&amp;"|"&amp;AM32</f>
        <v/>
      </c>
      <c r="T32" t="n">
        <v>6</v>
      </c>
      <c r="U32" t="n">
        <v>1</v>
      </c>
      <c r="V32" t="n">
        <v>2</v>
      </c>
      <c r="W32" t="n">
        <v>2</v>
      </c>
      <c r="X32" t="n">
        <v>2</v>
      </c>
      <c r="AA32" t="n">
        <v>2</v>
      </c>
      <c r="AB32" t="n">
        <v>2</v>
      </c>
      <c r="AC32" t="n">
        <v>2</v>
      </c>
      <c r="AF32" t="n">
        <v>2</v>
      </c>
      <c r="AG32" t="n">
        <v>2</v>
      </c>
      <c r="AH32" t="n">
        <v>2</v>
      </c>
      <c r="AK32" t="n">
        <v>1</v>
      </c>
      <c r="AL32" t="n">
        <v>1</v>
      </c>
      <c r="AM32" t="n">
        <v>1</v>
      </c>
      <c r="AN32" s="13" t="n">
        <v>30</v>
      </c>
      <c r="AO32">
        <f>SUM(T32:AM32)</f>
        <v/>
      </c>
      <c r="AP32" s="15" t="n"/>
    </row>
    <row r="33" ht="85.5" customHeight="1">
      <c r="A33" t="n">
        <v>31</v>
      </c>
      <c r="B33">
        <f>$C$2&amp;"|"&amp;C33&amp;"$"&amp;$D$2&amp;"|"&amp;D33&amp;"$"&amp;$E$2&amp;"|"&amp;E33</f>
        <v/>
      </c>
      <c r="C33" t="n">
        <v>4</v>
      </c>
      <c r="D33" t="n">
        <v>4</v>
      </c>
      <c r="E33" t="n">
        <v>10</v>
      </c>
      <c r="F33" s="12">
        <f>H33&amp;"|"&amp;I33&amp;"|"&amp;J33&amp;"|"&amp;K33&amp;"|"&amp;L33&amp;"|"&amp;M33&amp;"|"&amp;N33&amp;"|"&amp;O33&amp;"|"&amp;P33</f>
        <v/>
      </c>
      <c r="G33" t="inlineStr">
        <is>
          <t>可建造四级八卦炉</t>
        </is>
      </c>
      <c r="H33" t="inlineStr">
        <is>
          <t>可建造十级炼丹房</t>
        </is>
      </c>
      <c r="I33" t="inlineStr">
        <is>
          <t>解锁更多空地</t>
        </is>
      </c>
      <c r="J33" t="inlineStr">
        <is>
          <t>可建造四级炼器房</t>
        </is>
      </c>
      <c r="K33" t="inlineStr">
        <is>
          <t>可以建造地级矿场</t>
        </is>
      </c>
      <c r="L33" t="inlineStr">
        <is>
          <t>灵田上限+1</t>
        </is>
      </c>
      <c r="M33" t="inlineStr">
        <is>
          <t>建筑等级上限+1</t>
        </is>
      </c>
      <c r="N33" t="inlineStr">
        <is>
          <t>弟子数量+3</t>
        </is>
      </c>
      <c r="O33" t="inlineStr">
        <is>
          <t>可以建造地级灵树</t>
        </is>
      </c>
      <c r="P33" t="inlineStr">
        <is>
          <t>可以建造地级藏经阁</t>
        </is>
      </c>
      <c r="R33" s="12">
        <f>$T$2&amp;"|"&amp;T33&amp;"$"&amp;$U$2&amp;"|"&amp;U33&amp;"$"&amp;$V$2&amp;"|"&amp;V33&amp;"$"&amp;$W$2&amp;"|"&amp;W33&amp;"$"&amp;$X$2&amp;"|"&amp;X33&amp;"$"&amp;$Y$2&amp;"|"&amp;Y33&amp;"$"&amp;$Z$2&amp;"|"&amp;Z33&amp;"$"&amp;$AA$2&amp;"|"&amp;AA33&amp;"$"&amp;$AB$2&amp;"|"&amp;AB33&amp;"$"&amp;$AC$2&amp;"|"&amp;AC33&amp;"$"&amp;$AD$2&amp;"|"&amp;AD33&amp;"$"&amp;$AE$2&amp;"|"&amp;AE33&amp;"$"&amp;$AF$2&amp;"|"&amp;AF33&amp;"$"&amp;$AG$2&amp;"|"&amp;AG33&amp;"$"&amp;$AH$2&amp;"|"&amp;AH33&amp;"$"&amp;$AI$2&amp;"|"&amp;AI33&amp;"$"&amp;$AJ$2&amp;"|"&amp;AJ33&amp;"$"&amp;$AK$2&amp;"|"&amp;AK33&amp;"$"&amp;$AL$2&amp;"|"&amp;AL33&amp;"$"&amp;$AM$2&amp;"|"&amp;AM33</f>
        <v/>
      </c>
      <c r="T33" t="n">
        <v>7</v>
      </c>
      <c r="U33" t="n">
        <v>1</v>
      </c>
      <c r="V33" t="n">
        <v>2</v>
      </c>
      <c r="W33" t="n">
        <v>2</v>
      </c>
      <c r="X33" t="n">
        <v>2</v>
      </c>
      <c r="Y33" t="n">
        <v>1</v>
      </c>
      <c r="AA33" t="n">
        <v>2</v>
      </c>
      <c r="AB33" t="n">
        <v>2</v>
      </c>
      <c r="AC33" t="n">
        <v>2</v>
      </c>
      <c r="AD33" t="n">
        <v>1</v>
      </c>
      <c r="AF33" t="n">
        <v>2</v>
      </c>
      <c r="AG33" t="n">
        <v>2</v>
      </c>
      <c r="AH33" t="n">
        <v>2</v>
      </c>
      <c r="AI33" t="n">
        <v>1</v>
      </c>
      <c r="AK33" t="n">
        <v>1</v>
      </c>
      <c r="AL33" t="n">
        <v>1</v>
      </c>
      <c r="AM33" t="n">
        <v>1</v>
      </c>
      <c r="AN33" s="13" t="n">
        <v>31</v>
      </c>
      <c r="AO33">
        <f>SUM(T33:AM33)</f>
        <v/>
      </c>
      <c r="AQ33" t="inlineStr">
        <is>
          <t>30-31需要3关boss材料</t>
        </is>
      </c>
    </row>
    <row r="34" ht="85.5" customHeight="1">
      <c r="A34" t="n">
        <v>32</v>
      </c>
      <c r="B34">
        <f>$C$2&amp;"|"&amp;C34&amp;"$"&amp;$D$2&amp;"|"&amp;D34&amp;"$"&amp;$E$2&amp;"|"&amp;E34</f>
        <v/>
      </c>
      <c r="C34" t="n">
        <v>4</v>
      </c>
      <c r="D34" t="n">
        <v>4</v>
      </c>
      <c r="E34" t="n">
        <v>10</v>
      </c>
      <c r="F34" s="12">
        <f>H34&amp;"|"&amp;I34&amp;"|"&amp;J34&amp;"|"&amp;K34&amp;"|"&amp;L34&amp;"|"&amp;M34&amp;"|"&amp;N34&amp;"|"&amp;O34&amp;"|"&amp;P34</f>
        <v/>
      </c>
      <c r="M34" t="inlineStr">
        <is>
          <t>建筑等级上限+1</t>
        </is>
      </c>
      <c r="N34" t="inlineStr">
        <is>
          <t>弟子数量+3</t>
        </is>
      </c>
      <c r="R34" s="12">
        <f>$T$2&amp;"|"&amp;T34&amp;"$"&amp;$U$2&amp;"|"&amp;U34&amp;"$"&amp;$V$2&amp;"|"&amp;V34&amp;"$"&amp;$W$2&amp;"|"&amp;W34&amp;"$"&amp;$X$2&amp;"|"&amp;X34&amp;"$"&amp;$Y$2&amp;"|"&amp;Y34&amp;"$"&amp;$Z$2&amp;"|"&amp;Z34&amp;"$"&amp;$AA$2&amp;"|"&amp;AA34&amp;"$"&amp;$AB$2&amp;"|"&amp;AB34&amp;"$"&amp;$AC$2&amp;"|"&amp;AC34&amp;"$"&amp;$AD$2&amp;"|"&amp;AD34&amp;"$"&amp;$AE$2&amp;"|"&amp;AE34&amp;"$"&amp;$AF$2&amp;"|"&amp;AF34&amp;"$"&amp;$AG$2&amp;"|"&amp;AG34&amp;"$"&amp;$AH$2&amp;"|"&amp;AH34&amp;"$"&amp;$AI$2&amp;"|"&amp;AI34&amp;"$"&amp;$AJ$2&amp;"|"&amp;AJ34&amp;"$"&amp;$AK$2&amp;"|"&amp;AK34&amp;"$"&amp;$AL$2&amp;"|"&amp;AL34&amp;"$"&amp;$AM$2&amp;"|"&amp;AM34</f>
        <v/>
      </c>
      <c r="T34" t="n">
        <v>7</v>
      </c>
      <c r="U34" t="n">
        <v>1</v>
      </c>
      <c r="V34" t="n">
        <v>2</v>
      </c>
      <c r="W34" t="n">
        <v>2</v>
      </c>
      <c r="X34" t="n">
        <v>2</v>
      </c>
      <c r="Y34" t="n">
        <v>1</v>
      </c>
      <c r="AA34" t="n">
        <v>2</v>
      </c>
      <c r="AB34" t="n">
        <v>2</v>
      </c>
      <c r="AC34" t="n">
        <v>2</v>
      </c>
      <c r="AD34" t="n">
        <v>1</v>
      </c>
      <c r="AF34" t="n">
        <v>2</v>
      </c>
      <c r="AG34" t="n">
        <v>2</v>
      </c>
      <c r="AH34" t="n">
        <v>2</v>
      </c>
      <c r="AI34" t="n">
        <v>1</v>
      </c>
      <c r="AK34" t="n">
        <v>1</v>
      </c>
      <c r="AL34" t="n">
        <v>1</v>
      </c>
      <c r="AM34" t="n">
        <v>1</v>
      </c>
      <c r="AN34" s="13" t="n">
        <v>32</v>
      </c>
      <c r="AO34">
        <f>SUM(T34:AM34)</f>
        <v/>
      </c>
    </row>
    <row r="35" ht="85.5" customHeight="1">
      <c r="A35" t="n">
        <v>33</v>
      </c>
      <c r="B35">
        <f>$C$2&amp;"|"&amp;C35&amp;"$"&amp;$D$2&amp;"|"&amp;D35&amp;"$"&amp;$E$2&amp;"|"&amp;E35</f>
        <v/>
      </c>
      <c r="C35" t="n">
        <v>4</v>
      </c>
      <c r="D35" t="n">
        <v>4</v>
      </c>
      <c r="E35" t="n">
        <v>10</v>
      </c>
      <c r="F35" s="12">
        <f>H35&amp;"|"&amp;I35&amp;"|"&amp;J35&amp;"|"&amp;K35&amp;"|"&amp;L35&amp;"|"&amp;M35&amp;"|"&amp;N35&amp;"|"&amp;O35&amp;"|"&amp;P35</f>
        <v/>
      </c>
      <c r="M35" t="inlineStr">
        <is>
          <t>建筑等级上限+1</t>
        </is>
      </c>
      <c r="N35" t="inlineStr">
        <is>
          <t>弟子数量+3</t>
        </is>
      </c>
      <c r="R35" s="12">
        <f>$T$2&amp;"|"&amp;T35&amp;"$"&amp;$U$2&amp;"|"&amp;U35&amp;"$"&amp;$V$2&amp;"|"&amp;V35&amp;"$"&amp;$W$2&amp;"|"&amp;W35&amp;"$"&amp;$X$2&amp;"|"&amp;X35&amp;"$"&amp;$Y$2&amp;"|"&amp;Y35&amp;"$"&amp;$Z$2&amp;"|"&amp;Z35&amp;"$"&amp;$AA$2&amp;"|"&amp;AA35&amp;"$"&amp;$AB$2&amp;"|"&amp;AB35&amp;"$"&amp;$AC$2&amp;"|"&amp;AC35&amp;"$"&amp;$AD$2&amp;"|"&amp;AD35&amp;"$"&amp;$AE$2&amp;"|"&amp;AE35&amp;"$"&amp;$AF$2&amp;"|"&amp;AF35&amp;"$"&amp;$AG$2&amp;"|"&amp;AG35&amp;"$"&amp;$AH$2&amp;"|"&amp;AH35&amp;"$"&amp;$AI$2&amp;"|"&amp;AI35&amp;"$"&amp;$AJ$2&amp;"|"&amp;AJ35&amp;"$"&amp;$AK$2&amp;"|"&amp;AK35&amp;"$"&amp;$AL$2&amp;"|"&amp;AL35&amp;"$"&amp;$AM$2&amp;"|"&amp;AM35</f>
        <v/>
      </c>
      <c r="T35" t="n">
        <v>7</v>
      </c>
      <c r="U35" t="n">
        <v>1</v>
      </c>
      <c r="V35" t="n">
        <v>2</v>
      </c>
      <c r="W35" t="n">
        <v>2</v>
      </c>
      <c r="X35" t="n">
        <v>2</v>
      </c>
      <c r="Y35" t="n">
        <v>1</v>
      </c>
      <c r="AA35" t="n">
        <v>2</v>
      </c>
      <c r="AB35" t="n">
        <v>2</v>
      </c>
      <c r="AC35" t="n">
        <v>2</v>
      </c>
      <c r="AD35" t="n">
        <v>1</v>
      </c>
      <c r="AF35" t="n">
        <v>2</v>
      </c>
      <c r="AG35" t="n">
        <v>2</v>
      </c>
      <c r="AH35" t="n">
        <v>2</v>
      </c>
      <c r="AI35" t="n">
        <v>1</v>
      </c>
      <c r="AK35" t="n">
        <v>1</v>
      </c>
      <c r="AL35" t="n">
        <v>1</v>
      </c>
      <c r="AM35" t="n">
        <v>1</v>
      </c>
      <c r="AN35" s="13" t="n">
        <v>33</v>
      </c>
      <c r="AO35">
        <f>SUM(T35:AM35)</f>
        <v/>
      </c>
    </row>
    <row r="36" ht="85.5" customHeight="1">
      <c r="A36" t="n">
        <v>34</v>
      </c>
      <c r="B36">
        <f>$C$2&amp;"|"&amp;C36&amp;"$"&amp;$D$2&amp;"|"&amp;D36&amp;"$"&amp;$E$2&amp;"|"&amp;E36</f>
        <v/>
      </c>
      <c r="C36" t="n">
        <v>4</v>
      </c>
      <c r="D36" t="n">
        <v>4</v>
      </c>
      <c r="E36" t="n">
        <v>11</v>
      </c>
      <c r="F36" s="12">
        <f>H36&amp;"|"&amp;I36&amp;"|"&amp;J36&amp;"|"&amp;K36&amp;"|"&amp;L36&amp;"|"&amp;M36&amp;"|"&amp;N36&amp;"|"&amp;O36&amp;"|"&amp;P36</f>
        <v/>
      </c>
      <c r="H36" t="inlineStr">
        <is>
          <t>可建造十一级炼丹房</t>
        </is>
      </c>
      <c r="M36" t="inlineStr">
        <is>
          <t>建筑等级上限+1</t>
        </is>
      </c>
      <c r="N36" t="inlineStr">
        <is>
          <t>弟子数量+3</t>
        </is>
      </c>
      <c r="R36" s="12">
        <f>$T$2&amp;"|"&amp;T36&amp;"$"&amp;$U$2&amp;"|"&amp;U36&amp;"$"&amp;$V$2&amp;"|"&amp;V36&amp;"$"&amp;$W$2&amp;"|"&amp;W36&amp;"$"&amp;$X$2&amp;"|"&amp;X36&amp;"$"&amp;$Y$2&amp;"|"&amp;Y36&amp;"$"&amp;$Z$2&amp;"|"&amp;Z36&amp;"$"&amp;$AA$2&amp;"|"&amp;AA36&amp;"$"&amp;$AB$2&amp;"|"&amp;AB36&amp;"$"&amp;$AC$2&amp;"|"&amp;AC36&amp;"$"&amp;$AD$2&amp;"|"&amp;AD36&amp;"$"&amp;$AE$2&amp;"|"&amp;AE36&amp;"$"&amp;$AF$2&amp;"|"&amp;AF36&amp;"$"&amp;$AG$2&amp;"|"&amp;AG36&amp;"$"&amp;$AH$2&amp;"|"&amp;AH36&amp;"$"&amp;$AI$2&amp;"|"&amp;AI36&amp;"$"&amp;$AJ$2&amp;"|"&amp;AJ36&amp;"$"&amp;$AK$2&amp;"|"&amp;AK36&amp;"$"&amp;$AL$2&amp;"|"&amp;AL36&amp;"$"&amp;$AM$2&amp;"|"&amp;AM36</f>
        <v/>
      </c>
      <c r="T36" t="n">
        <v>7</v>
      </c>
      <c r="U36" t="n">
        <v>1</v>
      </c>
      <c r="V36" t="n">
        <v>2</v>
      </c>
      <c r="W36" t="n">
        <v>2</v>
      </c>
      <c r="X36" t="n">
        <v>2</v>
      </c>
      <c r="Y36" t="n">
        <v>1</v>
      </c>
      <c r="AA36" t="n">
        <v>2</v>
      </c>
      <c r="AB36" t="n">
        <v>2</v>
      </c>
      <c r="AC36" t="n">
        <v>2</v>
      </c>
      <c r="AD36" t="n">
        <v>1</v>
      </c>
      <c r="AF36" t="n">
        <v>2</v>
      </c>
      <c r="AG36" t="n">
        <v>2</v>
      </c>
      <c r="AH36" t="n">
        <v>2</v>
      </c>
      <c r="AI36" t="n">
        <v>1</v>
      </c>
      <c r="AK36" t="n">
        <v>1</v>
      </c>
      <c r="AL36" t="n">
        <v>1</v>
      </c>
      <c r="AM36" t="n">
        <v>1</v>
      </c>
      <c r="AN36" s="13" t="n">
        <v>34</v>
      </c>
      <c r="AO36">
        <f>SUM(T36:AM36)</f>
        <v/>
      </c>
    </row>
    <row r="37" ht="85.5" customHeight="1">
      <c r="A37" t="n">
        <v>35</v>
      </c>
      <c r="B37">
        <f>$C$2&amp;"|"&amp;C37&amp;"$"&amp;$D$2&amp;"|"&amp;D37&amp;"$"&amp;$E$2&amp;"|"&amp;E37</f>
        <v/>
      </c>
      <c r="C37" t="n">
        <v>4</v>
      </c>
      <c r="D37" t="n">
        <v>4</v>
      </c>
      <c r="E37" t="n">
        <v>11</v>
      </c>
      <c r="F37" s="12">
        <f>H37&amp;"|"&amp;I37&amp;"|"&amp;J37&amp;"|"&amp;K37&amp;"|"&amp;L37&amp;"|"&amp;M37&amp;"|"&amp;N37&amp;"|"&amp;O37&amp;"|"&amp;P37</f>
        <v/>
      </c>
      <c r="M37" t="inlineStr">
        <is>
          <t>建筑等级上限+1</t>
        </is>
      </c>
      <c r="N37" t="inlineStr">
        <is>
          <t>弟子数量+3</t>
        </is>
      </c>
      <c r="R37" s="12">
        <f>$T$2&amp;"|"&amp;T37&amp;"$"&amp;$U$2&amp;"|"&amp;U37&amp;"$"&amp;$V$2&amp;"|"&amp;V37&amp;"$"&amp;$W$2&amp;"|"&amp;W37&amp;"$"&amp;$X$2&amp;"|"&amp;X37&amp;"$"&amp;$Y$2&amp;"|"&amp;Y37&amp;"$"&amp;$Z$2&amp;"|"&amp;Z37&amp;"$"&amp;$AA$2&amp;"|"&amp;AA37&amp;"$"&amp;$AB$2&amp;"|"&amp;AB37&amp;"$"&amp;$AC$2&amp;"|"&amp;AC37&amp;"$"&amp;$AD$2&amp;"|"&amp;AD37&amp;"$"&amp;$AE$2&amp;"|"&amp;AE37&amp;"$"&amp;$AF$2&amp;"|"&amp;AF37&amp;"$"&amp;$AG$2&amp;"|"&amp;AG37&amp;"$"&amp;$AH$2&amp;"|"&amp;AH37&amp;"$"&amp;$AI$2&amp;"|"&amp;AI37&amp;"$"&amp;$AJ$2&amp;"|"&amp;AJ37&amp;"$"&amp;$AK$2&amp;"|"&amp;AK37&amp;"$"&amp;$AL$2&amp;"|"&amp;AL37&amp;"$"&amp;$AM$2&amp;"|"&amp;AM37</f>
        <v/>
      </c>
      <c r="T37" t="n">
        <v>7</v>
      </c>
      <c r="U37" t="n">
        <v>1</v>
      </c>
      <c r="V37" t="n">
        <v>2</v>
      </c>
      <c r="W37" t="n">
        <v>2</v>
      </c>
      <c r="X37" t="n">
        <v>2</v>
      </c>
      <c r="Y37" t="n">
        <v>1</v>
      </c>
      <c r="AA37" t="n">
        <v>2</v>
      </c>
      <c r="AB37" t="n">
        <v>2</v>
      </c>
      <c r="AC37" t="n">
        <v>2</v>
      </c>
      <c r="AD37" t="n">
        <v>1</v>
      </c>
      <c r="AF37" t="n">
        <v>2</v>
      </c>
      <c r="AG37" t="n">
        <v>2</v>
      </c>
      <c r="AH37" t="n">
        <v>2</v>
      </c>
      <c r="AI37" t="n">
        <v>1</v>
      </c>
      <c r="AK37" t="n">
        <v>1</v>
      </c>
      <c r="AL37" t="n">
        <v>1</v>
      </c>
      <c r="AM37" t="n">
        <v>1</v>
      </c>
      <c r="AN37" s="13" t="n">
        <v>35</v>
      </c>
      <c r="AO37">
        <f>SUM(T37:AM37)</f>
        <v/>
      </c>
    </row>
    <row r="38" ht="85.5" customHeight="1">
      <c r="A38" t="n">
        <v>36</v>
      </c>
      <c r="B38">
        <f>$C$2&amp;"|"&amp;C38&amp;"$"&amp;$D$2&amp;"|"&amp;D38&amp;"$"&amp;$E$2&amp;"|"&amp;E38</f>
        <v/>
      </c>
      <c r="C38" t="n">
        <v>4</v>
      </c>
      <c r="D38" t="n">
        <v>4</v>
      </c>
      <c r="E38" t="n">
        <v>11</v>
      </c>
      <c r="F38" s="12">
        <f>H38&amp;"|"&amp;I38&amp;"|"&amp;J38&amp;"|"&amp;K38&amp;"|"&amp;L38&amp;"|"&amp;M38&amp;"|"&amp;N38&amp;"|"&amp;O38&amp;"|"&amp;P38</f>
        <v/>
      </c>
      <c r="I38" t="inlineStr">
        <is>
          <t>解锁更多空地</t>
        </is>
      </c>
      <c r="K38" t="inlineStr">
        <is>
          <t>地级矿场上限+1</t>
        </is>
      </c>
      <c r="L38" t="inlineStr">
        <is>
          <t>灵田上限+1</t>
        </is>
      </c>
      <c r="M38" t="inlineStr">
        <is>
          <t>建筑等级上限+1</t>
        </is>
      </c>
      <c r="N38" t="inlineStr">
        <is>
          <t>弟子数量+3</t>
        </is>
      </c>
      <c r="O38" t="inlineStr">
        <is>
          <t>地级灵树上限+1</t>
        </is>
      </c>
      <c r="P38" t="inlineStr">
        <is>
          <t>地级藏经阁上限+1</t>
        </is>
      </c>
      <c r="R38" s="12">
        <f>$T$2&amp;"|"&amp;T38&amp;"$"&amp;$U$2&amp;"|"&amp;U38&amp;"$"&amp;$V$2&amp;"|"&amp;V38&amp;"$"&amp;$W$2&amp;"|"&amp;W38&amp;"$"&amp;$X$2&amp;"|"&amp;X38&amp;"$"&amp;$Y$2&amp;"|"&amp;Y38&amp;"$"&amp;$Z$2&amp;"|"&amp;Z38&amp;"$"&amp;$AA$2&amp;"|"&amp;AA38&amp;"$"&amp;$AB$2&amp;"|"&amp;AB38&amp;"$"&amp;$AC$2&amp;"|"&amp;AC38&amp;"$"&amp;$AD$2&amp;"|"&amp;AD38&amp;"$"&amp;$AE$2&amp;"|"&amp;AE38&amp;"$"&amp;$AF$2&amp;"|"&amp;AF38&amp;"$"&amp;$AG$2&amp;"|"&amp;AG38&amp;"$"&amp;$AH$2&amp;"|"&amp;AH38&amp;"$"&amp;$AI$2&amp;"|"&amp;AI38&amp;"$"&amp;$AJ$2&amp;"|"&amp;AJ38&amp;"$"&amp;$AK$2&amp;"|"&amp;AK38&amp;"$"&amp;$AL$2&amp;"|"&amp;AL38&amp;"$"&amp;$AM$2&amp;"|"&amp;AM38</f>
        <v/>
      </c>
      <c r="T38" t="n">
        <v>8</v>
      </c>
      <c r="U38" t="n">
        <v>1</v>
      </c>
      <c r="V38" t="n">
        <v>2</v>
      </c>
      <c r="W38" t="n">
        <v>2</v>
      </c>
      <c r="X38" t="n">
        <v>2</v>
      </c>
      <c r="Y38" t="n">
        <v>2</v>
      </c>
      <c r="AA38" t="n">
        <v>2</v>
      </c>
      <c r="AB38" t="n">
        <v>2</v>
      </c>
      <c r="AC38" t="n">
        <v>2</v>
      </c>
      <c r="AD38" t="n">
        <v>2</v>
      </c>
      <c r="AF38" t="n">
        <v>2</v>
      </c>
      <c r="AG38" t="n">
        <v>2</v>
      </c>
      <c r="AH38" t="n">
        <v>2</v>
      </c>
      <c r="AI38" t="n">
        <v>2</v>
      </c>
      <c r="AK38" t="n">
        <v>1</v>
      </c>
      <c r="AL38" t="n">
        <v>1</v>
      </c>
      <c r="AM38" t="n">
        <v>1</v>
      </c>
      <c r="AN38" s="13" t="n">
        <v>36</v>
      </c>
      <c r="AO38">
        <f>SUM(T38:AM38)</f>
        <v/>
      </c>
    </row>
    <row r="39" ht="85.5" customHeight="1">
      <c r="A39" t="n">
        <v>37</v>
      </c>
      <c r="B39">
        <f>$C$2&amp;"|"&amp;C39&amp;"$"&amp;$D$2&amp;"|"&amp;D39&amp;"$"&amp;$E$2&amp;"|"&amp;E39</f>
        <v/>
      </c>
      <c r="C39" t="n">
        <v>4</v>
      </c>
      <c r="D39" t="n">
        <v>4</v>
      </c>
      <c r="E39" t="n">
        <v>12</v>
      </c>
      <c r="F39" s="12">
        <f>H39&amp;"|"&amp;I39&amp;"|"&amp;J39&amp;"|"&amp;K39&amp;"|"&amp;L39&amp;"|"&amp;M39&amp;"|"&amp;N39&amp;"|"&amp;O39&amp;"|"&amp;P39</f>
        <v/>
      </c>
      <c r="H39" t="inlineStr">
        <is>
          <t>可建造十二级炼丹房</t>
        </is>
      </c>
      <c r="M39" t="inlineStr">
        <is>
          <t>建筑等级上限+1</t>
        </is>
      </c>
      <c r="N39" t="inlineStr">
        <is>
          <t>弟子数量+3</t>
        </is>
      </c>
      <c r="R39" s="12">
        <f>$T$2&amp;"|"&amp;T39&amp;"$"&amp;$U$2&amp;"|"&amp;U39&amp;"$"&amp;$V$2&amp;"|"&amp;V39&amp;"$"&amp;$W$2&amp;"|"&amp;W39&amp;"$"&amp;$X$2&amp;"|"&amp;X39&amp;"$"&amp;$Y$2&amp;"|"&amp;Y39&amp;"$"&amp;$Z$2&amp;"|"&amp;Z39&amp;"$"&amp;$AA$2&amp;"|"&amp;AA39&amp;"$"&amp;$AB$2&amp;"|"&amp;AB39&amp;"$"&amp;$AC$2&amp;"|"&amp;AC39&amp;"$"&amp;$AD$2&amp;"|"&amp;AD39&amp;"$"&amp;$AE$2&amp;"|"&amp;AE39&amp;"$"&amp;$AF$2&amp;"|"&amp;AF39&amp;"$"&amp;$AG$2&amp;"|"&amp;AG39&amp;"$"&amp;$AH$2&amp;"|"&amp;AH39&amp;"$"&amp;$AI$2&amp;"|"&amp;AI39&amp;"$"&amp;$AJ$2&amp;"|"&amp;AJ39&amp;"$"&amp;$AK$2&amp;"|"&amp;AK39&amp;"$"&amp;$AL$2&amp;"|"&amp;AL39&amp;"$"&amp;$AM$2&amp;"|"&amp;AM39</f>
        <v/>
      </c>
      <c r="T39" t="n">
        <v>8</v>
      </c>
      <c r="U39" t="n">
        <v>1</v>
      </c>
      <c r="V39" t="n">
        <v>2</v>
      </c>
      <c r="W39" t="n">
        <v>2</v>
      </c>
      <c r="X39" t="n">
        <v>2</v>
      </c>
      <c r="Y39" t="n">
        <v>2</v>
      </c>
      <c r="AA39" t="n">
        <v>2</v>
      </c>
      <c r="AB39" t="n">
        <v>2</v>
      </c>
      <c r="AC39" t="n">
        <v>2</v>
      </c>
      <c r="AD39" t="n">
        <v>2</v>
      </c>
      <c r="AF39" t="n">
        <v>2</v>
      </c>
      <c r="AG39" t="n">
        <v>2</v>
      </c>
      <c r="AH39" t="n">
        <v>2</v>
      </c>
      <c r="AI39" t="n">
        <v>2</v>
      </c>
      <c r="AK39" t="n">
        <v>1</v>
      </c>
      <c r="AL39" t="n">
        <v>1</v>
      </c>
      <c r="AM39" t="n">
        <v>1</v>
      </c>
      <c r="AN39" s="13" t="n">
        <v>37</v>
      </c>
      <c r="AO39">
        <f>SUM(T39:AM39)</f>
        <v/>
      </c>
    </row>
    <row r="40" ht="85.5" customHeight="1">
      <c r="A40" t="n">
        <v>38</v>
      </c>
      <c r="B40">
        <f>$C$2&amp;"|"&amp;C40&amp;"$"&amp;$D$2&amp;"|"&amp;D40&amp;"$"&amp;$E$2&amp;"|"&amp;E40</f>
        <v/>
      </c>
      <c r="C40" t="n">
        <v>4</v>
      </c>
      <c r="D40" t="n">
        <v>4</v>
      </c>
      <c r="E40" t="n">
        <v>12</v>
      </c>
      <c r="F40" s="12">
        <f>H40&amp;"|"&amp;I40&amp;"|"&amp;J40&amp;"|"&amp;K40&amp;"|"&amp;L40&amp;"|"&amp;M40&amp;"|"&amp;N40&amp;"|"&amp;O40&amp;"|"&amp;P40</f>
        <v/>
      </c>
      <c r="M40" t="inlineStr">
        <is>
          <t>建筑等级上限+1</t>
        </is>
      </c>
      <c r="N40" t="inlineStr">
        <is>
          <t>弟子数量+3</t>
        </is>
      </c>
      <c r="R40" s="12">
        <f>$T$2&amp;"|"&amp;T40&amp;"$"&amp;$U$2&amp;"|"&amp;U40&amp;"$"&amp;$V$2&amp;"|"&amp;V40&amp;"$"&amp;$W$2&amp;"|"&amp;W40&amp;"$"&amp;$X$2&amp;"|"&amp;X40&amp;"$"&amp;$Y$2&amp;"|"&amp;Y40&amp;"$"&amp;$Z$2&amp;"|"&amp;Z40&amp;"$"&amp;$AA$2&amp;"|"&amp;AA40&amp;"$"&amp;$AB$2&amp;"|"&amp;AB40&amp;"$"&amp;$AC$2&amp;"|"&amp;AC40&amp;"$"&amp;$AD$2&amp;"|"&amp;AD40&amp;"$"&amp;$AE$2&amp;"|"&amp;AE40&amp;"$"&amp;$AF$2&amp;"|"&amp;AF40&amp;"$"&amp;$AG$2&amp;"|"&amp;AG40&amp;"$"&amp;$AH$2&amp;"|"&amp;AH40&amp;"$"&amp;$AI$2&amp;"|"&amp;AI40&amp;"$"&amp;$AJ$2&amp;"|"&amp;AJ40&amp;"$"&amp;$AK$2&amp;"|"&amp;AK40&amp;"$"&amp;$AL$2&amp;"|"&amp;AL40&amp;"$"&amp;$AM$2&amp;"|"&amp;AM40</f>
        <v/>
      </c>
      <c r="T40" t="n">
        <v>8</v>
      </c>
      <c r="U40" t="n">
        <v>1</v>
      </c>
      <c r="V40" t="n">
        <v>2</v>
      </c>
      <c r="W40" t="n">
        <v>2</v>
      </c>
      <c r="X40" t="n">
        <v>2</v>
      </c>
      <c r="Y40" t="n">
        <v>2</v>
      </c>
      <c r="AA40" t="n">
        <v>2</v>
      </c>
      <c r="AB40" t="n">
        <v>2</v>
      </c>
      <c r="AC40" t="n">
        <v>2</v>
      </c>
      <c r="AD40" t="n">
        <v>2</v>
      </c>
      <c r="AF40" t="n">
        <v>2</v>
      </c>
      <c r="AG40" t="n">
        <v>2</v>
      </c>
      <c r="AH40" t="n">
        <v>2</v>
      </c>
      <c r="AI40" t="n">
        <v>2</v>
      </c>
      <c r="AK40" t="n">
        <v>1</v>
      </c>
      <c r="AL40" t="n">
        <v>1</v>
      </c>
      <c r="AM40" t="n">
        <v>1</v>
      </c>
      <c r="AN40" s="13" t="n">
        <v>38</v>
      </c>
      <c r="AO40">
        <f>SUM(T40:AM40)</f>
        <v/>
      </c>
    </row>
    <row r="41" ht="85.5" customHeight="1">
      <c r="A41" t="n">
        <v>39</v>
      </c>
      <c r="B41">
        <f>$C$2&amp;"|"&amp;C41&amp;"$"&amp;$D$2&amp;"|"&amp;D41&amp;"$"&amp;$E$2&amp;"|"&amp;E41</f>
        <v/>
      </c>
      <c r="C41" t="n">
        <v>4</v>
      </c>
      <c r="D41" t="n">
        <v>4</v>
      </c>
      <c r="E41" t="n">
        <v>12</v>
      </c>
      <c r="F41" s="12">
        <f>H41&amp;"|"&amp;I41&amp;"|"&amp;J41&amp;"|"&amp;K41&amp;"|"&amp;L41&amp;"|"&amp;M41&amp;"|"&amp;N41&amp;"|"&amp;O41&amp;"|"&amp;P41</f>
        <v/>
      </c>
      <c r="M41" t="inlineStr">
        <is>
          <t>建筑等级上限+1</t>
        </is>
      </c>
      <c r="N41" t="inlineStr">
        <is>
          <t>弟子数量+3</t>
        </is>
      </c>
      <c r="R41" s="12">
        <f>$T$2&amp;"|"&amp;T41&amp;"$"&amp;$U$2&amp;"|"&amp;U41&amp;"$"&amp;$V$2&amp;"|"&amp;V41&amp;"$"&amp;$W$2&amp;"|"&amp;W41&amp;"$"&amp;$X$2&amp;"|"&amp;X41&amp;"$"&amp;$Y$2&amp;"|"&amp;Y41&amp;"$"&amp;$Z$2&amp;"|"&amp;Z41&amp;"$"&amp;$AA$2&amp;"|"&amp;AA41&amp;"$"&amp;$AB$2&amp;"|"&amp;AB41&amp;"$"&amp;$AC$2&amp;"|"&amp;AC41&amp;"$"&amp;$AD$2&amp;"|"&amp;AD41&amp;"$"&amp;$AE$2&amp;"|"&amp;AE41&amp;"$"&amp;$AF$2&amp;"|"&amp;AF41&amp;"$"&amp;$AG$2&amp;"|"&amp;AG41&amp;"$"&amp;$AH$2&amp;"|"&amp;AH41&amp;"$"&amp;$AI$2&amp;"|"&amp;AI41&amp;"$"&amp;$AJ$2&amp;"|"&amp;AJ41&amp;"$"&amp;$AK$2&amp;"|"&amp;AK41&amp;"$"&amp;$AL$2&amp;"|"&amp;AL41&amp;"$"&amp;$AM$2&amp;"|"&amp;AM41</f>
        <v/>
      </c>
      <c r="T41" t="n">
        <v>8</v>
      </c>
      <c r="U41" t="n">
        <v>1</v>
      </c>
      <c r="V41" t="n">
        <v>2</v>
      </c>
      <c r="W41" t="n">
        <v>2</v>
      </c>
      <c r="X41" t="n">
        <v>2</v>
      </c>
      <c r="Y41" t="n">
        <v>2</v>
      </c>
      <c r="AA41" t="n">
        <v>2</v>
      </c>
      <c r="AB41" t="n">
        <v>2</v>
      </c>
      <c r="AC41" t="n">
        <v>2</v>
      </c>
      <c r="AD41" t="n">
        <v>2</v>
      </c>
      <c r="AF41" t="n">
        <v>2</v>
      </c>
      <c r="AG41" t="n">
        <v>2</v>
      </c>
      <c r="AH41" t="n">
        <v>2</v>
      </c>
      <c r="AI41" t="n">
        <v>2</v>
      </c>
      <c r="AK41" t="n">
        <v>1</v>
      </c>
      <c r="AL41" t="n">
        <v>1</v>
      </c>
      <c r="AM41" t="n">
        <v>1</v>
      </c>
      <c r="AN41" s="13" t="n">
        <v>39</v>
      </c>
      <c r="AO41">
        <f>SUM(T41:AM41)</f>
        <v/>
      </c>
    </row>
    <row r="42" ht="85.5" customHeight="1">
      <c r="A42" t="n">
        <v>40</v>
      </c>
      <c r="B42">
        <f>$C$2&amp;"|"&amp;C42&amp;"$"&amp;$D$2&amp;"|"&amp;D42&amp;"$"&amp;$E$2&amp;"|"&amp;E42</f>
        <v/>
      </c>
      <c r="C42" t="n">
        <v>4</v>
      </c>
      <c r="D42" t="n">
        <v>4</v>
      </c>
      <c r="E42" t="n">
        <v>12</v>
      </c>
      <c r="F42" s="12">
        <f>H42&amp;"|"&amp;I42&amp;"|"&amp;J42&amp;"|"&amp;K42&amp;"|"&amp;L42&amp;"|"&amp;M42&amp;"|"&amp;N42&amp;"|"&amp;O42&amp;"|"&amp;P42</f>
        <v/>
      </c>
      <c r="M42" t="inlineStr">
        <is>
          <t>建筑等级上限+1</t>
        </is>
      </c>
      <c r="N42" t="inlineStr">
        <is>
          <t>弟子数量+3</t>
        </is>
      </c>
      <c r="R42" s="12">
        <f>$T$2&amp;"|"&amp;T42&amp;"$"&amp;$U$2&amp;"|"&amp;U42&amp;"$"&amp;$V$2&amp;"|"&amp;V42&amp;"$"&amp;$W$2&amp;"|"&amp;W42&amp;"$"&amp;$X$2&amp;"|"&amp;X42&amp;"$"&amp;$Y$2&amp;"|"&amp;Y42&amp;"$"&amp;$Z$2&amp;"|"&amp;Z42&amp;"$"&amp;$AA$2&amp;"|"&amp;AA42&amp;"$"&amp;$AB$2&amp;"|"&amp;AB42&amp;"$"&amp;$AC$2&amp;"|"&amp;AC42&amp;"$"&amp;$AD$2&amp;"|"&amp;AD42&amp;"$"&amp;$AE$2&amp;"|"&amp;AE42&amp;"$"&amp;$AF$2&amp;"|"&amp;AF42&amp;"$"&amp;$AG$2&amp;"|"&amp;AG42&amp;"$"&amp;$AH$2&amp;"|"&amp;AH42&amp;"$"&amp;$AI$2&amp;"|"&amp;AI42&amp;"$"&amp;$AJ$2&amp;"|"&amp;AJ42&amp;"$"&amp;$AK$2&amp;"|"&amp;AK42&amp;"$"&amp;$AL$2&amp;"|"&amp;AL42&amp;"$"&amp;$AM$2&amp;"|"&amp;AM42</f>
        <v/>
      </c>
      <c r="T42" t="n">
        <v>8</v>
      </c>
      <c r="U42" t="n">
        <v>1</v>
      </c>
      <c r="V42" t="n">
        <v>2</v>
      </c>
      <c r="W42" t="n">
        <v>2</v>
      </c>
      <c r="X42" t="n">
        <v>2</v>
      </c>
      <c r="Y42" t="n">
        <v>2</v>
      </c>
      <c r="AA42" t="n">
        <v>2</v>
      </c>
      <c r="AB42" t="n">
        <v>2</v>
      </c>
      <c r="AC42" t="n">
        <v>2</v>
      </c>
      <c r="AD42" t="n">
        <v>2</v>
      </c>
      <c r="AF42" t="n">
        <v>2</v>
      </c>
      <c r="AG42" t="n">
        <v>2</v>
      </c>
      <c r="AH42" t="n">
        <v>2</v>
      </c>
      <c r="AI42" t="n">
        <v>2</v>
      </c>
      <c r="AK42" t="n">
        <v>1</v>
      </c>
      <c r="AL42" t="n">
        <v>1</v>
      </c>
      <c r="AM42" t="n">
        <v>1</v>
      </c>
      <c r="AN42" s="13" t="n">
        <v>40</v>
      </c>
      <c r="AO42">
        <f>SUM(T42:AM42)</f>
        <v/>
      </c>
    </row>
    <row r="43" ht="99.75" customHeight="1">
      <c r="A43" t="n">
        <v>41</v>
      </c>
      <c r="B43">
        <f>$C$2&amp;"|"&amp;C43&amp;"$"&amp;$D$2&amp;"|"&amp;D43&amp;"$"&amp;$E$2&amp;"|"&amp;E43</f>
        <v/>
      </c>
      <c r="C43" t="n">
        <v>5</v>
      </c>
      <c r="D43" t="n">
        <v>5</v>
      </c>
      <c r="E43" t="n">
        <v>13</v>
      </c>
      <c r="F43" s="12">
        <f>H43&amp;"|"&amp;I43&amp;"|"&amp;J43&amp;"|"&amp;K43&amp;"|"&amp;L43&amp;"|"&amp;M43&amp;"|"&amp;N43&amp;"|"&amp;O43&amp;"|"&amp;P43</f>
        <v/>
      </c>
      <c r="G43" t="inlineStr">
        <is>
          <t>可建造五级八卦炉</t>
        </is>
      </c>
      <c r="H43" t="inlineStr">
        <is>
          <t>可建造十三级炼丹房</t>
        </is>
      </c>
      <c r="I43" t="inlineStr">
        <is>
          <t>解锁更多空地</t>
        </is>
      </c>
      <c r="J43" t="inlineStr">
        <is>
          <t>可建造五级炼器房</t>
        </is>
      </c>
      <c r="K43" t="inlineStr">
        <is>
          <t>可以建造天级矿场</t>
        </is>
      </c>
      <c r="L43" t="inlineStr">
        <is>
          <t>灵田上限+1</t>
        </is>
      </c>
      <c r="M43" t="inlineStr">
        <is>
          <t>建筑等级上限+1</t>
        </is>
      </c>
      <c r="N43" t="inlineStr">
        <is>
          <t>弟子数量+3</t>
        </is>
      </c>
      <c r="O43" t="inlineStr">
        <is>
          <t>可以建造天级灵树</t>
        </is>
      </c>
      <c r="P43" t="inlineStr">
        <is>
          <t>可以建造天级藏经阁</t>
        </is>
      </c>
      <c r="R43" s="12">
        <f>$T$2&amp;"|"&amp;T43&amp;"$"&amp;$U$2&amp;"|"&amp;U43&amp;"$"&amp;$V$2&amp;"|"&amp;V43&amp;"$"&amp;$W$2&amp;"|"&amp;W43&amp;"$"&amp;$X$2&amp;"|"&amp;X43&amp;"$"&amp;$Y$2&amp;"|"&amp;Y43&amp;"$"&amp;$Z$2&amp;"|"&amp;Z43&amp;"$"&amp;$AA$2&amp;"|"&amp;AA43&amp;"$"&amp;$AB$2&amp;"|"&amp;AB43&amp;"$"&amp;$AC$2&amp;"|"&amp;AC43&amp;"$"&amp;$AD$2&amp;"|"&amp;AD43&amp;"$"&amp;$AE$2&amp;"|"&amp;AE43&amp;"$"&amp;$AF$2&amp;"|"&amp;AF43&amp;"$"&amp;$AG$2&amp;"|"&amp;AG43&amp;"$"&amp;$AH$2&amp;"|"&amp;AH43&amp;"$"&amp;$AI$2&amp;"|"&amp;AI43&amp;"$"&amp;$AJ$2&amp;"|"&amp;AJ43&amp;"$"&amp;$AK$2&amp;"|"&amp;AK43&amp;"$"&amp;$AL$2&amp;"|"&amp;AL43&amp;"$"&amp;$AM$2&amp;"|"&amp;AM43</f>
        <v/>
      </c>
      <c r="T43" t="n">
        <v>9</v>
      </c>
      <c r="U43" t="n">
        <v>1</v>
      </c>
      <c r="V43" t="n">
        <v>2</v>
      </c>
      <c r="W43" t="n">
        <v>2</v>
      </c>
      <c r="X43" t="n">
        <v>2</v>
      </c>
      <c r="Y43" t="n">
        <v>2</v>
      </c>
      <c r="Z43" t="n">
        <v>1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2</v>
      </c>
      <c r="AG43" t="n">
        <v>2</v>
      </c>
      <c r="AH43" t="n">
        <v>2</v>
      </c>
      <c r="AI43" t="n">
        <v>2</v>
      </c>
      <c r="AJ43" t="n">
        <v>1</v>
      </c>
      <c r="AK43" t="n">
        <v>1</v>
      </c>
      <c r="AL43" t="n">
        <v>1</v>
      </c>
      <c r="AM43" t="n">
        <v>1</v>
      </c>
      <c r="AN43" s="13" t="n">
        <v>41</v>
      </c>
      <c r="AO43">
        <f>SUM(T43:AM43)</f>
        <v/>
      </c>
      <c r="AQ43" t="inlineStr">
        <is>
          <t>40-41需要4关boss材料</t>
        </is>
      </c>
    </row>
    <row r="44" ht="99.75" customHeight="1">
      <c r="A44" t="n">
        <v>42</v>
      </c>
      <c r="B44">
        <f>$C$2&amp;"|"&amp;C44&amp;"$"&amp;$D$2&amp;"|"&amp;D44&amp;"$"&amp;$E$2&amp;"|"&amp;E44</f>
        <v/>
      </c>
      <c r="C44" t="n">
        <v>5</v>
      </c>
      <c r="D44" t="n">
        <v>5</v>
      </c>
      <c r="E44" t="n">
        <v>13</v>
      </c>
      <c r="F44" s="12">
        <f>H44&amp;"|"&amp;I44&amp;"|"&amp;J44&amp;"|"&amp;K44&amp;"|"&amp;L44&amp;"|"&amp;M44&amp;"|"&amp;N44&amp;"|"&amp;O44&amp;"|"&amp;P44</f>
        <v/>
      </c>
      <c r="M44" t="inlineStr">
        <is>
          <t>建筑等级上限+1</t>
        </is>
      </c>
      <c r="N44" t="inlineStr">
        <is>
          <t>弟子数量+3</t>
        </is>
      </c>
      <c r="R44" s="12">
        <f>$T$2&amp;"|"&amp;T44&amp;"$"&amp;$U$2&amp;"|"&amp;U44&amp;"$"&amp;$V$2&amp;"|"&amp;V44&amp;"$"&amp;$W$2&amp;"|"&amp;W44&amp;"$"&amp;$X$2&amp;"|"&amp;X44&amp;"$"&amp;$Y$2&amp;"|"&amp;Y44&amp;"$"&amp;$Z$2&amp;"|"&amp;Z44&amp;"$"&amp;$AA$2&amp;"|"&amp;AA44&amp;"$"&amp;$AB$2&amp;"|"&amp;AB44&amp;"$"&amp;$AC$2&amp;"|"&amp;AC44&amp;"$"&amp;$AD$2&amp;"|"&amp;AD44&amp;"$"&amp;$AE$2&amp;"|"&amp;AE44&amp;"$"&amp;$AF$2&amp;"|"&amp;AF44&amp;"$"&amp;$AG$2&amp;"|"&amp;AG44&amp;"$"&amp;$AH$2&amp;"|"&amp;AH44&amp;"$"&amp;$AI$2&amp;"|"&amp;AI44&amp;"$"&amp;$AJ$2&amp;"|"&amp;AJ44&amp;"$"&amp;$AK$2&amp;"|"&amp;AK44&amp;"$"&amp;$AL$2&amp;"|"&amp;AL44&amp;"$"&amp;$AM$2&amp;"|"&amp;AM44</f>
        <v/>
      </c>
      <c r="T44" t="n">
        <v>9</v>
      </c>
      <c r="U44" t="n">
        <v>1</v>
      </c>
      <c r="V44" t="n">
        <v>2</v>
      </c>
      <c r="W44" t="n">
        <v>2</v>
      </c>
      <c r="X44" t="n">
        <v>2</v>
      </c>
      <c r="Y44" t="n">
        <v>2</v>
      </c>
      <c r="Z44" t="n">
        <v>1</v>
      </c>
      <c r="AA44" t="n">
        <v>2</v>
      </c>
      <c r="AB44" t="n">
        <v>2</v>
      </c>
      <c r="AC44" t="n">
        <v>2</v>
      </c>
      <c r="AD44" t="n">
        <v>2</v>
      </c>
      <c r="AE44" t="n">
        <v>1</v>
      </c>
      <c r="AF44" t="n">
        <v>2</v>
      </c>
      <c r="AG44" t="n">
        <v>2</v>
      </c>
      <c r="AH44" t="n">
        <v>2</v>
      </c>
      <c r="AI44" t="n">
        <v>2</v>
      </c>
      <c r="AJ44" t="n">
        <v>1</v>
      </c>
      <c r="AK44" t="n">
        <v>1</v>
      </c>
      <c r="AL44" t="n">
        <v>1</v>
      </c>
      <c r="AM44" t="n">
        <v>1</v>
      </c>
      <c r="AN44" s="13" t="n">
        <v>42</v>
      </c>
      <c r="AO44">
        <f>SUM(T44:AM44)</f>
        <v/>
      </c>
    </row>
    <row r="45" ht="99.75" customHeight="1">
      <c r="A45" t="n">
        <v>43</v>
      </c>
      <c r="B45">
        <f>$C$2&amp;"|"&amp;C45&amp;"$"&amp;$D$2&amp;"|"&amp;D45&amp;"$"&amp;$E$2&amp;"|"&amp;E45</f>
        <v/>
      </c>
      <c r="C45" t="n">
        <v>5</v>
      </c>
      <c r="D45" t="n">
        <v>5</v>
      </c>
      <c r="E45" t="n">
        <v>13</v>
      </c>
      <c r="F45" s="12">
        <f>H45&amp;"|"&amp;I45&amp;"|"&amp;J45&amp;"|"&amp;K45&amp;"|"&amp;L45&amp;"|"&amp;M45&amp;"|"&amp;N45&amp;"|"&amp;O45&amp;"|"&amp;P45</f>
        <v/>
      </c>
      <c r="M45" t="inlineStr">
        <is>
          <t>建筑等级上限+1</t>
        </is>
      </c>
      <c r="N45" t="inlineStr">
        <is>
          <t>弟子数量+3</t>
        </is>
      </c>
      <c r="R45" s="12">
        <f>$T$2&amp;"|"&amp;T45&amp;"$"&amp;$U$2&amp;"|"&amp;U45&amp;"$"&amp;$V$2&amp;"|"&amp;V45&amp;"$"&amp;$W$2&amp;"|"&amp;W45&amp;"$"&amp;$X$2&amp;"|"&amp;X45&amp;"$"&amp;$Y$2&amp;"|"&amp;Y45&amp;"$"&amp;$Z$2&amp;"|"&amp;Z45&amp;"$"&amp;$AA$2&amp;"|"&amp;AA45&amp;"$"&amp;$AB$2&amp;"|"&amp;AB45&amp;"$"&amp;$AC$2&amp;"|"&amp;AC45&amp;"$"&amp;$AD$2&amp;"|"&amp;AD45&amp;"$"&amp;$AE$2&amp;"|"&amp;AE45&amp;"$"&amp;$AF$2&amp;"|"&amp;AF45&amp;"$"&amp;$AG$2&amp;"|"&amp;AG45&amp;"$"&amp;$AH$2&amp;"|"&amp;AH45&amp;"$"&amp;$AI$2&amp;"|"&amp;AI45&amp;"$"&amp;$AJ$2&amp;"|"&amp;AJ45&amp;"$"&amp;$AK$2&amp;"|"&amp;AK45&amp;"$"&amp;$AL$2&amp;"|"&amp;AL45&amp;"$"&amp;$AM$2&amp;"|"&amp;AM45</f>
        <v/>
      </c>
      <c r="T45" t="n">
        <v>9</v>
      </c>
      <c r="U45" t="n">
        <v>1</v>
      </c>
      <c r="V45" t="n">
        <v>2</v>
      </c>
      <c r="W45" t="n">
        <v>2</v>
      </c>
      <c r="X45" t="n">
        <v>2</v>
      </c>
      <c r="Y45" t="n">
        <v>2</v>
      </c>
      <c r="Z45" t="n">
        <v>1</v>
      </c>
      <c r="AA45" t="n">
        <v>2</v>
      </c>
      <c r="AB45" t="n">
        <v>2</v>
      </c>
      <c r="AC45" t="n">
        <v>2</v>
      </c>
      <c r="AD45" t="n">
        <v>2</v>
      </c>
      <c r="AE45" t="n">
        <v>1</v>
      </c>
      <c r="AF45" t="n">
        <v>2</v>
      </c>
      <c r="AG45" t="n">
        <v>2</v>
      </c>
      <c r="AH45" t="n">
        <v>2</v>
      </c>
      <c r="AI45" t="n">
        <v>2</v>
      </c>
      <c r="AJ45" t="n">
        <v>1</v>
      </c>
      <c r="AK45" t="n">
        <v>1</v>
      </c>
      <c r="AL45" t="n">
        <v>1</v>
      </c>
      <c r="AM45" t="n">
        <v>1</v>
      </c>
      <c r="AN45" s="13" t="n">
        <v>43</v>
      </c>
      <c r="AO45">
        <f>SUM(T45:AM45)</f>
        <v/>
      </c>
    </row>
    <row r="46" ht="99.75" customHeight="1">
      <c r="A46" t="n">
        <v>44</v>
      </c>
      <c r="B46">
        <f>$C$2&amp;"|"&amp;C46&amp;"$"&amp;$D$2&amp;"|"&amp;D46&amp;"$"&amp;$E$2&amp;"|"&amp;E46</f>
        <v/>
      </c>
      <c r="C46" t="n">
        <v>5</v>
      </c>
      <c r="D46" t="n">
        <v>5</v>
      </c>
      <c r="E46" t="n">
        <v>14</v>
      </c>
      <c r="F46" s="12">
        <f>H46&amp;"|"&amp;I46&amp;"|"&amp;J46&amp;"|"&amp;K46&amp;"|"&amp;L46&amp;"|"&amp;M46&amp;"|"&amp;N46&amp;"|"&amp;O46&amp;"|"&amp;P46</f>
        <v/>
      </c>
      <c r="H46" t="inlineStr">
        <is>
          <t>可建造十四级炼丹房</t>
        </is>
      </c>
      <c r="M46" t="inlineStr">
        <is>
          <t>建筑等级上限+1</t>
        </is>
      </c>
      <c r="N46" t="inlineStr">
        <is>
          <t>弟子数量+3</t>
        </is>
      </c>
      <c r="R46" s="12">
        <f>$T$2&amp;"|"&amp;T46&amp;"$"&amp;$U$2&amp;"|"&amp;U46&amp;"$"&amp;$V$2&amp;"|"&amp;V46&amp;"$"&amp;$W$2&amp;"|"&amp;W46&amp;"$"&amp;$X$2&amp;"|"&amp;X46&amp;"$"&amp;$Y$2&amp;"|"&amp;Y46&amp;"$"&amp;$Z$2&amp;"|"&amp;Z46&amp;"$"&amp;$AA$2&amp;"|"&amp;AA46&amp;"$"&amp;$AB$2&amp;"|"&amp;AB46&amp;"$"&amp;$AC$2&amp;"|"&amp;AC46&amp;"$"&amp;$AD$2&amp;"|"&amp;AD46&amp;"$"&amp;$AE$2&amp;"|"&amp;AE46&amp;"$"&amp;$AF$2&amp;"|"&amp;AF46&amp;"$"&amp;$AG$2&amp;"|"&amp;AG46&amp;"$"&amp;$AH$2&amp;"|"&amp;AH46&amp;"$"&amp;$AI$2&amp;"|"&amp;AI46&amp;"$"&amp;$AJ$2&amp;"|"&amp;AJ46&amp;"$"&amp;$AK$2&amp;"|"&amp;AK46&amp;"$"&amp;$AL$2&amp;"|"&amp;AL46&amp;"$"&amp;$AM$2&amp;"|"&amp;AM46</f>
        <v/>
      </c>
      <c r="T46" t="n">
        <v>9</v>
      </c>
      <c r="U46" t="n">
        <v>1</v>
      </c>
      <c r="V46" t="n">
        <v>2</v>
      </c>
      <c r="W46" t="n">
        <v>2</v>
      </c>
      <c r="X46" t="n">
        <v>2</v>
      </c>
      <c r="Y46" t="n">
        <v>2</v>
      </c>
      <c r="Z46" t="n">
        <v>1</v>
      </c>
      <c r="AA46" t="n">
        <v>2</v>
      </c>
      <c r="AB46" t="n">
        <v>2</v>
      </c>
      <c r="AC46" t="n">
        <v>2</v>
      </c>
      <c r="AD46" t="n">
        <v>2</v>
      </c>
      <c r="AE46" t="n">
        <v>1</v>
      </c>
      <c r="AF46" t="n">
        <v>2</v>
      </c>
      <c r="AG46" t="n">
        <v>2</v>
      </c>
      <c r="AH46" t="n">
        <v>2</v>
      </c>
      <c r="AI46" t="n">
        <v>2</v>
      </c>
      <c r="AJ46" t="n">
        <v>1</v>
      </c>
      <c r="AK46" t="n">
        <v>1</v>
      </c>
      <c r="AL46" t="n">
        <v>1</v>
      </c>
      <c r="AM46" t="n">
        <v>1</v>
      </c>
      <c r="AN46" s="13" t="n">
        <v>44</v>
      </c>
      <c r="AO46">
        <f>SUM(T46:AM46)</f>
        <v/>
      </c>
    </row>
    <row r="47" ht="99.75" customHeight="1">
      <c r="A47" t="n">
        <v>45</v>
      </c>
      <c r="B47">
        <f>$C$2&amp;"|"&amp;C47&amp;"$"&amp;$D$2&amp;"|"&amp;D47&amp;"$"&amp;$E$2&amp;"|"&amp;E47</f>
        <v/>
      </c>
      <c r="C47" t="n">
        <v>5</v>
      </c>
      <c r="D47" t="n">
        <v>5</v>
      </c>
      <c r="E47" t="n">
        <v>14</v>
      </c>
      <c r="F47" s="12">
        <f>H47&amp;"|"&amp;I47&amp;"|"&amp;J47&amp;"|"&amp;K47&amp;"|"&amp;L47&amp;"|"&amp;M47&amp;"|"&amp;N47&amp;"|"&amp;O47&amp;"|"&amp;P47</f>
        <v/>
      </c>
      <c r="M47" t="inlineStr">
        <is>
          <t>建筑等级上限+1</t>
        </is>
      </c>
      <c r="N47" t="inlineStr">
        <is>
          <t>弟子数量+3</t>
        </is>
      </c>
      <c r="R47" s="12">
        <f>$T$2&amp;"|"&amp;T47&amp;"$"&amp;$U$2&amp;"|"&amp;U47&amp;"$"&amp;$V$2&amp;"|"&amp;V47&amp;"$"&amp;$W$2&amp;"|"&amp;W47&amp;"$"&amp;$X$2&amp;"|"&amp;X47&amp;"$"&amp;$Y$2&amp;"|"&amp;Y47&amp;"$"&amp;$Z$2&amp;"|"&amp;Z47&amp;"$"&amp;$AA$2&amp;"|"&amp;AA47&amp;"$"&amp;$AB$2&amp;"|"&amp;AB47&amp;"$"&amp;$AC$2&amp;"|"&amp;AC47&amp;"$"&amp;$AD$2&amp;"|"&amp;AD47&amp;"$"&amp;$AE$2&amp;"|"&amp;AE47&amp;"$"&amp;$AF$2&amp;"|"&amp;AF47&amp;"$"&amp;$AG$2&amp;"|"&amp;AG47&amp;"$"&amp;$AH$2&amp;"|"&amp;AH47&amp;"$"&amp;$AI$2&amp;"|"&amp;AI47&amp;"$"&amp;$AJ$2&amp;"|"&amp;AJ47&amp;"$"&amp;$AK$2&amp;"|"&amp;AK47&amp;"$"&amp;$AL$2&amp;"|"&amp;AL47&amp;"$"&amp;$AM$2&amp;"|"&amp;AM47</f>
        <v/>
      </c>
      <c r="T47" t="n">
        <v>9</v>
      </c>
      <c r="U47" t="n">
        <v>1</v>
      </c>
      <c r="V47" t="n">
        <v>2</v>
      </c>
      <c r="W47" t="n">
        <v>2</v>
      </c>
      <c r="X47" t="n">
        <v>2</v>
      </c>
      <c r="Y47" t="n">
        <v>2</v>
      </c>
      <c r="Z47" t="n">
        <v>1</v>
      </c>
      <c r="AA47" t="n">
        <v>2</v>
      </c>
      <c r="AB47" t="n">
        <v>2</v>
      </c>
      <c r="AC47" t="n">
        <v>2</v>
      </c>
      <c r="AD47" t="n">
        <v>2</v>
      </c>
      <c r="AE47" t="n">
        <v>1</v>
      </c>
      <c r="AF47" t="n">
        <v>2</v>
      </c>
      <c r="AG47" t="n">
        <v>2</v>
      </c>
      <c r="AH47" t="n">
        <v>2</v>
      </c>
      <c r="AI47" t="n">
        <v>2</v>
      </c>
      <c r="AJ47" t="n">
        <v>1</v>
      </c>
      <c r="AK47" t="n">
        <v>1</v>
      </c>
      <c r="AL47" t="n">
        <v>1</v>
      </c>
      <c r="AM47" t="n">
        <v>1</v>
      </c>
      <c r="AN47" s="13" t="n">
        <v>45</v>
      </c>
      <c r="AO47">
        <f>SUM(T47:AM47)</f>
        <v/>
      </c>
    </row>
    <row r="48" ht="99.75" customHeight="1">
      <c r="A48" t="n">
        <v>46</v>
      </c>
      <c r="B48">
        <f>$C$2&amp;"|"&amp;C48&amp;"$"&amp;$D$2&amp;"|"&amp;D48&amp;"$"&amp;$E$2&amp;"|"&amp;E48</f>
        <v/>
      </c>
      <c r="C48" t="n">
        <v>5</v>
      </c>
      <c r="D48" t="n">
        <v>5</v>
      </c>
      <c r="E48" t="n">
        <v>14</v>
      </c>
      <c r="F48" s="12">
        <f>H48&amp;"|"&amp;I48&amp;"|"&amp;J48&amp;"|"&amp;K48&amp;"|"&amp;L48&amp;"|"&amp;M48&amp;"|"&amp;N48&amp;"|"&amp;O48&amp;"|"&amp;P48</f>
        <v/>
      </c>
      <c r="I48" t="inlineStr">
        <is>
          <t>解锁更多空地</t>
        </is>
      </c>
      <c r="K48" t="inlineStr">
        <is>
          <t>天级矿场上限+1</t>
        </is>
      </c>
      <c r="L48" t="inlineStr">
        <is>
          <t>灵田上限+1</t>
        </is>
      </c>
      <c r="M48" t="inlineStr">
        <is>
          <t>建筑等级上限+1</t>
        </is>
      </c>
      <c r="N48" t="inlineStr">
        <is>
          <t>弟子数量+3</t>
        </is>
      </c>
      <c r="O48" t="inlineStr">
        <is>
          <t>天级灵树上限+1</t>
        </is>
      </c>
      <c r="P48" t="inlineStr">
        <is>
          <t>天级藏经阁上限+1</t>
        </is>
      </c>
      <c r="R48" s="12">
        <f>$T$2&amp;"|"&amp;T48&amp;"$"&amp;$U$2&amp;"|"&amp;U48&amp;"$"&amp;$V$2&amp;"|"&amp;V48&amp;"$"&amp;$W$2&amp;"|"&amp;W48&amp;"$"&amp;$X$2&amp;"|"&amp;X48&amp;"$"&amp;$Y$2&amp;"|"&amp;Y48&amp;"$"&amp;$Z$2&amp;"|"&amp;Z48&amp;"$"&amp;$AA$2&amp;"|"&amp;AA48&amp;"$"&amp;$AB$2&amp;"|"&amp;AB48&amp;"$"&amp;$AC$2&amp;"|"&amp;AC48&amp;"$"&amp;$AD$2&amp;"|"&amp;AD48&amp;"$"&amp;$AE$2&amp;"|"&amp;AE48&amp;"$"&amp;$AF$2&amp;"|"&amp;AF48&amp;"$"&amp;$AG$2&amp;"|"&amp;AG48&amp;"$"&amp;$AH$2&amp;"|"&amp;AH48&amp;"$"&amp;$AI$2&amp;"|"&amp;AI48&amp;"$"&amp;$AJ$2&amp;"|"&amp;AJ48&amp;"$"&amp;$AK$2&amp;"|"&amp;AK48&amp;"$"&amp;$AL$2&amp;"|"&amp;AL48&amp;"$"&amp;$AM$2&amp;"|"&amp;AM48</f>
        <v/>
      </c>
      <c r="T48" t="n">
        <v>10</v>
      </c>
      <c r="U48" t="n">
        <v>1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1</v>
      </c>
      <c r="AL48" t="n">
        <v>1</v>
      </c>
      <c r="AM48" t="n">
        <v>1</v>
      </c>
      <c r="AN48" s="13" t="n">
        <v>46</v>
      </c>
      <c r="AO48">
        <f>SUM(T48:AM48)</f>
        <v/>
      </c>
    </row>
    <row r="49" ht="99.75" customHeight="1">
      <c r="A49" t="n">
        <v>47</v>
      </c>
      <c r="B49">
        <f>$C$2&amp;"|"&amp;C49&amp;"$"&amp;$D$2&amp;"|"&amp;D49&amp;"$"&amp;$E$2&amp;"|"&amp;E49</f>
        <v/>
      </c>
      <c r="C49" t="n">
        <v>5</v>
      </c>
      <c r="D49" t="n">
        <v>5</v>
      </c>
      <c r="E49" t="n">
        <v>15</v>
      </c>
      <c r="F49" s="12">
        <f>H49&amp;"|"&amp;I49&amp;"|"&amp;J49&amp;"|"&amp;K49&amp;"|"&amp;L49&amp;"|"&amp;M49&amp;"|"&amp;N49&amp;"|"&amp;O49&amp;"|"&amp;P49</f>
        <v/>
      </c>
      <c r="H49" t="inlineStr">
        <is>
          <t>可建造十五级炼丹房</t>
        </is>
      </c>
      <c r="M49" t="inlineStr">
        <is>
          <t>建筑等级上限+1</t>
        </is>
      </c>
      <c r="N49" t="inlineStr">
        <is>
          <t>弟子数量+3</t>
        </is>
      </c>
      <c r="R49" s="12">
        <f>$T$2&amp;"|"&amp;T49&amp;"$"&amp;$U$2&amp;"|"&amp;U49&amp;"$"&amp;$V$2&amp;"|"&amp;V49&amp;"$"&amp;$W$2&amp;"|"&amp;W49&amp;"$"&amp;$X$2&amp;"|"&amp;X49&amp;"$"&amp;$Y$2&amp;"|"&amp;Y49&amp;"$"&amp;$Z$2&amp;"|"&amp;Z49&amp;"$"&amp;$AA$2&amp;"|"&amp;AA49&amp;"$"&amp;$AB$2&amp;"|"&amp;AB49&amp;"$"&amp;$AC$2&amp;"|"&amp;AC49&amp;"$"&amp;$AD$2&amp;"|"&amp;AD49&amp;"$"&amp;$AE$2&amp;"|"&amp;AE49&amp;"$"&amp;$AF$2&amp;"|"&amp;AF49&amp;"$"&amp;$AG$2&amp;"|"&amp;AG49&amp;"$"&amp;$AH$2&amp;"|"&amp;AH49&amp;"$"&amp;$AI$2&amp;"|"&amp;AI49&amp;"$"&amp;$AJ$2&amp;"|"&amp;AJ49&amp;"$"&amp;$AK$2&amp;"|"&amp;AK49&amp;"$"&amp;$AL$2&amp;"|"&amp;AL49&amp;"$"&amp;$AM$2&amp;"|"&amp;AM49</f>
        <v/>
      </c>
      <c r="T49" t="n">
        <v>10</v>
      </c>
      <c r="U49" t="n">
        <v>1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1</v>
      </c>
      <c r="AL49" t="n">
        <v>1</v>
      </c>
      <c r="AM49" t="n">
        <v>1</v>
      </c>
      <c r="AN49" s="13" t="n">
        <v>47</v>
      </c>
      <c r="AO49">
        <f>SUM(T49:AM49)</f>
        <v/>
      </c>
    </row>
    <row r="50" ht="99.75" customHeight="1">
      <c r="A50" t="n">
        <v>48</v>
      </c>
      <c r="B50">
        <f>$C$2&amp;"|"&amp;C50&amp;"$"&amp;$D$2&amp;"|"&amp;D50&amp;"$"&amp;$E$2&amp;"|"&amp;E50</f>
        <v/>
      </c>
      <c r="C50" t="n">
        <v>5</v>
      </c>
      <c r="D50" t="n">
        <v>5</v>
      </c>
      <c r="E50" t="n">
        <v>15</v>
      </c>
      <c r="F50" s="12">
        <f>H50&amp;"|"&amp;I50&amp;"|"&amp;J50&amp;"|"&amp;K50&amp;"|"&amp;L50&amp;"|"&amp;M50&amp;"|"&amp;N50&amp;"|"&amp;O50&amp;"|"&amp;P50</f>
        <v/>
      </c>
      <c r="M50" t="inlineStr">
        <is>
          <t>建筑等级上限+1</t>
        </is>
      </c>
      <c r="N50" t="inlineStr">
        <is>
          <t>弟子数量+3</t>
        </is>
      </c>
      <c r="R50" s="12">
        <f>$T$2&amp;"|"&amp;T50&amp;"$"&amp;$U$2&amp;"|"&amp;U50&amp;"$"&amp;$V$2&amp;"|"&amp;V50&amp;"$"&amp;$W$2&amp;"|"&amp;W50&amp;"$"&amp;$X$2&amp;"|"&amp;X50&amp;"$"&amp;$Y$2&amp;"|"&amp;Y50&amp;"$"&amp;$Z$2&amp;"|"&amp;Z50&amp;"$"&amp;$AA$2&amp;"|"&amp;AA50&amp;"$"&amp;$AB$2&amp;"|"&amp;AB50&amp;"$"&amp;$AC$2&amp;"|"&amp;AC50&amp;"$"&amp;$AD$2&amp;"|"&amp;AD50&amp;"$"&amp;$AE$2&amp;"|"&amp;AE50&amp;"$"&amp;$AF$2&amp;"|"&amp;AF50&amp;"$"&amp;$AG$2&amp;"|"&amp;AG50&amp;"$"&amp;$AH$2&amp;"|"&amp;AH50&amp;"$"&amp;$AI$2&amp;"|"&amp;AI50&amp;"$"&amp;$AJ$2&amp;"|"&amp;AJ50&amp;"$"&amp;$AK$2&amp;"|"&amp;AK50&amp;"$"&amp;$AL$2&amp;"|"&amp;AL50&amp;"$"&amp;$AM$2&amp;"|"&amp;AM50</f>
        <v/>
      </c>
      <c r="T50" t="n">
        <v>10</v>
      </c>
      <c r="U50" t="n">
        <v>1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1</v>
      </c>
      <c r="AL50" t="n">
        <v>1</v>
      </c>
      <c r="AM50" t="n">
        <v>1</v>
      </c>
      <c r="AN50" s="13" t="n">
        <v>48</v>
      </c>
      <c r="AO50">
        <f>SUM(T50:AM50)</f>
        <v/>
      </c>
    </row>
    <row r="51" ht="99.75" customHeight="1">
      <c r="A51" t="n">
        <v>49</v>
      </c>
      <c r="B51">
        <f>$C$2&amp;"|"&amp;C51&amp;"$"&amp;$D$2&amp;"|"&amp;D51&amp;"$"&amp;$E$2&amp;"|"&amp;E51</f>
        <v/>
      </c>
      <c r="C51" t="n">
        <v>5</v>
      </c>
      <c r="D51" t="n">
        <v>5</v>
      </c>
      <c r="E51" t="n">
        <v>15</v>
      </c>
      <c r="F51" s="12">
        <f>H51&amp;"|"&amp;I51&amp;"|"&amp;J51&amp;"|"&amp;K51&amp;"|"&amp;L51&amp;"|"&amp;M51&amp;"|"&amp;N51&amp;"|"&amp;O51&amp;"|"&amp;P51</f>
        <v/>
      </c>
      <c r="M51" t="inlineStr">
        <is>
          <t>建筑等级上限+1</t>
        </is>
      </c>
      <c r="N51" t="inlineStr">
        <is>
          <t>弟子数量+3</t>
        </is>
      </c>
      <c r="R51" s="12">
        <f>$T$2&amp;"|"&amp;T51&amp;"$"&amp;$U$2&amp;"|"&amp;U51&amp;"$"&amp;$V$2&amp;"|"&amp;V51&amp;"$"&amp;$W$2&amp;"|"&amp;W51&amp;"$"&amp;$X$2&amp;"|"&amp;X51&amp;"$"&amp;$Y$2&amp;"|"&amp;Y51&amp;"$"&amp;$Z$2&amp;"|"&amp;Z51&amp;"$"&amp;$AA$2&amp;"|"&amp;AA51&amp;"$"&amp;$AB$2&amp;"|"&amp;AB51&amp;"$"&amp;$AC$2&amp;"|"&amp;AC51&amp;"$"&amp;$AD$2&amp;"|"&amp;AD51&amp;"$"&amp;$AE$2&amp;"|"&amp;AE51&amp;"$"&amp;$AF$2&amp;"|"&amp;AF51&amp;"$"&amp;$AG$2&amp;"|"&amp;AG51&amp;"$"&amp;$AH$2&amp;"|"&amp;AH51&amp;"$"&amp;$AI$2&amp;"|"&amp;AI51&amp;"$"&amp;$AJ$2&amp;"|"&amp;AJ51&amp;"$"&amp;$AK$2&amp;"|"&amp;AK51&amp;"$"&amp;$AL$2&amp;"|"&amp;AL51&amp;"$"&amp;$AM$2&amp;"|"&amp;AM51</f>
        <v/>
      </c>
      <c r="T51" t="n">
        <v>10</v>
      </c>
      <c r="U51" t="n">
        <v>1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1</v>
      </c>
      <c r="AL51" t="n">
        <v>1</v>
      </c>
      <c r="AM51" t="n">
        <v>1</v>
      </c>
      <c r="AN51" s="13" t="n">
        <v>49</v>
      </c>
      <c r="AO51">
        <f>SUM(T51:AM51)</f>
        <v/>
      </c>
    </row>
    <row r="52" ht="99.75" customHeight="1">
      <c r="A52" t="n">
        <v>50</v>
      </c>
      <c r="B52">
        <f>$C$2&amp;"|"&amp;C52&amp;"$"&amp;$D$2&amp;"|"&amp;D52&amp;"$"&amp;$E$2&amp;"|"&amp;E52</f>
        <v/>
      </c>
      <c r="C52" t="n">
        <v>5</v>
      </c>
      <c r="D52" t="n">
        <v>5</v>
      </c>
      <c r="E52" t="n">
        <v>15</v>
      </c>
      <c r="F52" s="12">
        <f>H52&amp;"|"&amp;I52&amp;"|"&amp;J52&amp;"|"&amp;K52&amp;"|"&amp;L52&amp;"|"&amp;M52&amp;"|"&amp;N52&amp;"|"&amp;O52&amp;"|"&amp;P52</f>
        <v/>
      </c>
      <c r="M52" t="inlineStr">
        <is>
          <t>建筑等级上限+1</t>
        </is>
      </c>
      <c r="N52" t="inlineStr">
        <is>
          <t>弟子数量+3</t>
        </is>
      </c>
      <c r="R52" s="12">
        <f>$T$2&amp;"|"&amp;T52&amp;"$"&amp;$U$2&amp;"|"&amp;U52&amp;"$"&amp;$V$2&amp;"|"&amp;V52&amp;"$"&amp;$W$2&amp;"|"&amp;W52&amp;"$"&amp;$X$2&amp;"|"&amp;X52&amp;"$"&amp;$Y$2&amp;"|"&amp;Y52&amp;"$"&amp;$Z$2&amp;"|"&amp;Z52&amp;"$"&amp;$AA$2&amp;"|"&amp;AA52&amp;"$"&amp;$AB$2&amp;"|"&amp;AB52&amp;"$"&amp;$AC$2&amp;"|"&amp;AC52&amp;"$"&amp;$AD$2&amp;"|"&amp;AD52&amp;"$"&amp;$AE$2&amp;"|"&amp;AE52&amp;"$"&amp;$AF$2&amp;"|"&amp;AF52&amp;"$"&amp;$AG$2&amp;"|"&amp;AG52&amp;"$"&amp;$AH$2&amp;"|"&amp;AH52&amp;"$"&amp;$AI$2&amp;"|"&amp;AI52&amp;"$"&amp;$AJ$2&amp;"|"&amp;AJ52&amp;"$"&amp;$AK$2&amp;"|"&amp;AK52&amp;"$"&amp;$AL$2&amp;"|"&amp;AL52&amp;"$"&amp;$AM$2&amp;"|"&amp;AM52</f>
        <v/>
      </c>
      <c r="T52" t="n">
        <v>10</v>
      </c>
      <c r="U52" t="n">
        <v>1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1</v>
      </c>
      <c r="AL52" t="n">
        <v>1</v>
      </c>
      <c r="AM52" t="n">
        <v>1</v>
      </c>
      <c r="AN52" s="13" t="n">
        <v>50</v>
      </c>
      <c r="AO52">
        <f>SUM(T52:AM52)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zoomScale="115" zoomScaleNormal="115" workbookViewId="0">
      <selection activeCell="I9" sqref="I9"/>
    </sheetView>
  </sheetViews>
  <sheetFormatPr baseColWidth="8" defaultColWidth="9" defaultRowHeight="14.25"/>
  <cols>
    <col width="9" customWidth="1" style="2" min="1" max="8"/>
    <col width="22.25" customWidth="1" style="2" min="9" max="9"/>
    <col width="9" customWidth="1" style="2" min="10" max="16384"/>
  </cols>
  <sheetData>
    <row r="1" ht="17.25" customHeight="1">
      <c r="B1" s="2" t="inlineStr">
        <is>
          <t>需要的钱</t>
        </is>
      </c>
      <c r="K1" s="3" t="inlineStr">
        <is>
          <t>虎王神金</t>
        </is>
      </c>
      <c r="L1" s="4" t="inlineStr">
        <is>
          <t>玉髓</t>
        </is>
      </c>
      <c r="M1" s="4" t="inlineStr">
        <is>
          <t>星髓</t>
        </is>
      </c>
      <c r="N1" s="5" t="inlineStr">
        <is>
          <t>仙柱石</t>
        </is>
      </c>
      <c r="O1" s="5" t="inlineStr">
        <is>
          <t>补天石</t>
        </is>
      </c>
      <c r="Q1" s="2" t="n">
        <v>171001</v>
      </c>
      <c r="R1" s="2" t="n">
        <v>172001</v>
      </c>
      <c r="S1" s="2" t="n">
        <v>173001</v>
      </c>
      <c r="T1" s="2" t="n">
        <v>174001</v>
      </c>
      <c r="U1" s="2" t="n">
        <v>175001</v>
      </c>
    </row>
    <row r="2">
      <c r="A2" s="6" t="inlineStr">
        <is>
          <t>K</t>
        </is>
      </c>
      <c r="B2" s="6" t="inlineStr">
        <is>
          <t>A</t>
        </is>
      </c>
      <c r="C2" s="6" t="n"/>
      <c r="D2" s="6" t="inlineStr">
        <is>
          <t>t</t>
        </is>
      </c>
      <c r="E2" s="6" t="inlineStr">
        <is>
          <t>y(t)</t>
        </is>
      </c>
      <c r="K2" s="5" t="inlineStr">
        <is>
          <t>161001</t>
        </is>
      </c>
      <c r="L2" s="5" t="inlineStr">
        <is>
          <t>162001</t>
        </is>
      </c>
      <c r="M2" s="5" t="inlineStr">
        <is>
          <t>163001</t>
        </is>
      </c>
      <c r="N2" s="5" t="inlineStr">
        <is>
          <t>164001</t>
        </is>
      </c>
      <c r="O2" s="5" t="inlineStr">
        <is>
          <t>165001</t>
        </is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</row>
    <row r="3">
      <c r="A3" s="7" t="n">
        <v>1000</v>
      </c>
      <c r="B3" s="6" t="n">
        <v>2</v>
      </c>
      <c r="C3" s="7" t="n"/>
      <c r="D3" s="7" t="n">
        <v>1</v>
      </c>
      <c r="E3" s="16">
        <f>$A$3*POWER(D3,$B$3)</f>
        <v/>
      </c>
    </row>
    <row r="4">
      <c r="D4" s="2" t="n">
        <v>2</v>
      </c>
      <c r="E4" s="16">
        <f>$A$3*POWER(D4,$B$3)</f>
        <v/>
      </c>
    </row>
    <row r="5">
      <c r="D5" s="7" t="n">
        <v>3</v>
      </c>
      <c r="E5" s="16">
        <f>$A$3*POWER(D5,$B$3)</f>
        <v/>
      </c>
    </row>
    <row r="6">
      <c r="D6" s="2" t="n">
        <v>4</v>
      </c>
      <c r="E6" s="16">
        <f>$A$3*POWER(D6,$B$3)</f>
        <v/>
      </c>
    </row>
    <row r="7">
      <c r="D7" s="7" t="n">
        <v>5</v>
      </c>
      <c r="E7" s="16">
        <f>$A$3*POWER(D7,$B$3)</f>
        <v/>
      </c>
      <c r="J7" s="12" t="n">
        <v>10</v>
      </c>
      <c r="K7" s="2">
        <f>$K$2&amp;"|"&amp;J7</f>
        <v/>
      </c>
    </row>
    <row r="8">
      <c r="D8" s="2" t="n">
        <v>6</v>
      </c>
      <c r="E8" s="16">
        <f>$A$3*POWER(D8,$B$3)</f>
        <v/>
      </c>
      <c r="I8" s="2">
        <f>K8&amp;"$"&amp;Q8</f>
        <v/>
      </c>
      <c r="J8" s="12" t="n">
        <v>12</v>
      </c>
      <c r="K8" s="2">
        <f>$K$2&amp;"|"&amp;J8</f>
        <v/>
      </c>
    </row>
    <row r="9">
      <c r="D9" s="7" t="n">
        <v>7</v>
      </c>
      <c r="E9" s="16">
        <f>$A$3*POWER(D9,$B$3)</f>
        <v/>
      </c>
      <c r="I9" s="2">
        <f>K9&amp;"$"&amp;Q9</f>
        <v/>
      </c>
      <c r="J9" s="12" t="n">
        <v>14</v>
      </c>
      <c r="K9" s="2">
        <f>$K$2&amp;"|"&amp;J9</f>
        <v/>
      </c>
    </row>
    <row r="10">
      <c r="D10" s="2" t="n">
        <v>8</v>
      </c>
      <c r="E10" s="16">
        <f>$A$3*POWER(D10,$B$3)</f>
        <v/>
      </c>
      <c r="I10" s="2">
        <f>K10&amp;"$"&amp;Q10</f>
        <v/>
      </c>
      <c r="J10" s="12" t="n">
        <v>16</v>
      </c>
      <c r="K10" s="2">
        <f>$K$2&amp;"|"&amp;J10</f>
        <v/>
      </c>
    </row>
    <row r="11">
      <c r="D11" s="7" t="n">
        <v>9</v>
      </c>
      <c r="E11" s="16">
        <f>$A$3*POWER(D11,$B$3)</f>
        <v/>
      </c>
      <c r="I11" s="2">
        <f>K11&amp;"$"&amp;Q11</f>
        <v/>
      </c>
      <c r="J11" s="12" t="n">
        <v>18</v>
      </c>
      <c r="K11" s="2">
        <f>$K$2&amp;"|"&amp;J11</f>
        <v/>
      </c>
    </row>
    <row r="12">
      <c r="D12" s="2" t="n">
        <v>10</v>
      </c>
      <c r="E12" s="16">
        <f>$A$3*POWER(D12,$B$3)</f>
        <v/>
      </c>
      <c r="F12" s="17">
        <f>SUM(E3:E12)</f>
        <v/>
      </c>
      <c r="I12" s="2">
        <f>K12&amp;"$"&amp;Q12</f>
        <v/>
      </c>
      <c r="J12" s="12" t="n">
        <v>20</v>
      </c>
      <c r="K12" s="2">
        <f>$K$2&amp;"|"&amp;J12</f>
        <v/>
      </c>
      <c r="Q12" s="2">
        <f>Q1&amp;"|"&amp;Q2</f>
        <v/>
      </c>
    </row>
    <row r="13">
      <c r="D13" s="7" t="n">
        <v>11</v>
      </c>
      <c r="E13" s="16">
        <f>$A$3*POWER(D13,$B$3)</f>
        <v/>
      </c>
      <c r="I13" s="2">
        <f>K13&amp;"$"&amp;Q13</f>
        <v/>
      </c>
      <c r="J13" s="12" t="n">
        <v>22</v>
      </c>
      <c r="K13" s="2">
        <f>$L$2&amp;"|"&amp;J13</f>
        <v/>
      </c>
    </row>
    <row r="14">
      <c r="D14" s="2" t="n">
        <v>12</v>
      </c>
      <c r="E14" s="16">
        <f>$A$3*POWER(D14,$B$3)</f>
        <v/>
      </c>
      <c r="I14" s="2">
        <f>K14&amp;"$"&amp;Q14</f>
        <v/>
      </c>
      <c r="J14" s="12" t="n">
        <v>24</v>
      </c>
      <c r="K14" s="2">
        <f>$L$2&amp;"|"&amp;J14</f>
        <v/>
      </c>
    </row>
    <row r="15">
      <c r="D15" s="7" t="n">
        <v>13</v>
      </c>
      <c r="E15" s="16">
        <f>$A$3*POWER(D15,$B$3)</f>
        <v/>
      </c>
      <c r="I15" s="2">
        <f>K15&amp;"$"&amp;Q15</f>
        <v/>
      </c>
      <c r="J15" s="12" t="n">
        <v>26</v>
      </c>
      <c r="K15" s="2">
        <f>$L$2&amp;"|"&amp;J15</f>
        <v/>
      </c>
    </row>
    <row r="16">
      <c r="D16" s="7" t="n">
        <v>14</v>
      </c>
      <c r="E16" s="16">
        <f>$A$3*POWER(D16,$B$3)</f>
        <v/>
      </c>
      <c r="I16" s="2">
        <f>K16&amp;"$"&amp;Q16</f>
        <v/>
      </c>
      <c r="J16" s="12" t="n">
        <v>28</v>
      </c>
      <c r="K16" s="2">
        <f>$L$2&amp;"|"&amp;J16</f>
        <v/>
      </c>
    </row>
    <row r="17">
      <c r="D17" s="2" t="n">
        <v>15</v>
      </c>
      <c r="E17" s="16">
        <f>$A$3*POWER(D17,$B$3)</f>
        <v/>
      </c>
      <c r="I17" s="2">
        <f>K17&amp;"$"&amp;Q17</f>
        <v/>
      </c>
      <c r="J17" s="12" t="n">
        <v>30</v>
      </c>
      <c r="K17" s="2">
        <f>$L$2&amp;"|"&amp;J17</f>
        <v/>
      </c>
    </row>
    <row r="18">
      <c r="D18" s="7" t="n">
        <v>16</v>
      </c>
      <c r="E18" s="16">
        <f>$A$3*POWER(D18,$B$3)</f>
        <v/>
      </c>
      <c r="I18" s="2">
        <f>K18&amp;"$"&amp;Q18</f>
        <v/>
      </c>
      <c r="J18" s="12" t="n">
        <v>32</v>
      </c>
      <c r="K18" s="2">
        <f>$L$2&amp;"|"&amp;J18</f>
        <v/>
      </c>
    </row>
    <row r="19">
      <c r="D19" s="2" t="n">
        <v>17</v>
      </c>
      <c r="E19" s="16">
        <f>$A$3*POWER(D19,$B$3)</f>
        <v/>
      </c>
      <c r="I19" s="2">
        <f>K19&amp;"$"&amp;Q19</f>
        <v/>
      </c>
      <c r="J19" s="12" t="n">
        <v>34</v>
      </c>
      <c r="K19" s="2">
        <f>$L$2&amp;"|"&amp;J19</f>
        <v/>
      </c>
    </row>
    <row r="20">
      <c r="D20" s="7" t="n">
        <v>18</v>
      </c>
      <c r="E20" s="16">
        <f>$A$3*POWER(D20,$B$3)</f>
        <v/>
      </c>
      <c r="I20" s="2">
        <f>K20&amp;"$"&amp;Q20</f>
        <v/>
      </c>
      <c r="J20" s="12" t="n">
        <v>36</v>
      </c>
      <c r="K20" s="2">
        <f>$L$2&amp;"|"&amp;J20</f>
        <v/>
      </c>
    </row>
    <row r="21">
      <c r="D21" s="2" t="n">
        <v>19</v>
      </c>
      <c r="E21" s="16">
        <f>$A$3*POWER(D21,$B$3)</f>
        <v/>
      </c>
      <c r="I21" s="2">
        <f>K21&amp;"$"&amp;Q21</f>
        <v/>
      </c>
      <c r="J21" s="12" t="n">
        <v>38</v>
      </c>
      <c r="K21" s="2">
        <f>$L$2&amp;"|"&amp;J21</f>
        <v/>
      </c>
    </row>
    <row r="22">
      <c r="D22" s="7" t="n">
        <v>20</v>
      </c>
      <c r="E22" s="16">
        <f>$A$3*POWER(D22,$B$3)</f>
        <v/>
      </c>
      <c r="I22" s="2">
        <f>K22&amp;"$"&amp;Q22</f>
        <v/>
      </c>
      <c r="J22" s="12" t="n">
        <v>40</v>
      </c>
      <c r="K22" s="2">
        <f>$L$2&amp;"|"&amp;J22</f>
        <v/>
      </c>
      <c r="Q22" s="2">
        <f>R1&amp;"|"&amp;R2</f>
        <v/>
      </c>
    </row>
    <row r="23">
      <c r="D23" s="2" t="n">
        <v>21</v>
      </c>
      <c r="E23" s="16">
        <f>$A$3*POWER(D23,$B$3)</f>
        <v/>
      </c>
      <c r="I23" s="2">
        <f>K23&amp;"$"&amp;Q23</f>
        <v/>
      </c>
      <c r="J23" s="12" t="n">
        <v>42</v>
      </c>
      <c r="K23" s="2">
        <f>$M$2&amp;"|"&amp;J23</f>
        <v/>
      </c>
    </row>
    <row r="24">
      <c r="D24" s="2" t="n">
        <v>22</v>
      </c>
      <c r="E24" s="16">
        <f>$A$3*POWER(D24,$B$3)</f>
        <v/>
      </c>
      <c r="I24" s="2">
        <f>K24&amp;"$"&amp;Q24</f>
        <v/>
      </c>
      <c r="J24" s="12" t="n">
        <v>44</v>
      </c>
      <c r="K24" s="2">
        <f>$M$2&amp;"|"&amp;J24</f>
        <v/>
      </c>
    </row>
    <row r="25">
      <c r="D25" s="7" t="n">
        <v>23</v>
      </c>
      <c r="E25" s="16">
        <f>$A$3*POWER(D25,$B$3)</f>
        <v/>
      </c>
      <c r="I25" s="2">
        <f>K25&amp;"$"&amp;Q25</f>
        <v/>
      </c>
      <c r="J25" s="12" t="n">
        <v>46</v>
      </c>
      <c r="K25" s="2">
        <f>$M$2&amp;"|"&amp;J25</f>
        <v/>
      </c>
    </row>
    <row r="26">
      <c r="D26" s="2" t="n">
        <v>24</v>
      </c>
      <c r="E26" s="16">
        <f>$A$3*POWER(D26,$B$3)</f>
        <v/>
      </c>
      <c r="I26" s="2">
        <f>K26&amp;"$"&amp;Q26</f>
        <v/>
      </c>
      <c r="J26" s="12" t="n">
        <v>48</v>
      </c>
      <c r="K26" s="2">
        <f>$M$2&amp;"|"&amp;J26</f>
        <v/>
      </c>
    </row>
    <row r="27">
      <c r="D27" s="2" t="n">
        <v>25</v>
      </c>
      <c r="E27" s="16">
        <f>$A$3*POWER(D27,$B$3)</f>
        <v/>
      </c>
      <c r="I27" s="2">
        <f>K27&amp;"$"&amp;Q27</f>
        <v/>
      </c>
      <c r="J27" s="12" t="n">
        <v>50</v>
      </c>
      <c r="K27" s="2">
        <f>$M$2&amp;"|"&amp;J27</f>
        <v/>
      </c>
    </row>
    <row r="28">
      <c r="D28" s="7" t="n">
        <v>26</v>
      </c>
      <c r="E28" s="16">
        <f>$A$3*POWER(D28,$B$3)</f>
        <v/>
      </c>
      <c r="I28" s="2">
        <f>K28&amp;"$"&amp;Q28</f>
        <v/>
      </c>
      <c r="J28" s="12" t="n">
        <v>52</v>
      </c>
      <c r="K28" s="2">
        <f>$M$2&amp;"|"&amp;J28</f>
        <v/>
      </c>
    </row>
    <row r="29">
      <c r="D29" s="2" t="n">
        <v>27</v>
      </c>
      <c r="E29" s="16">
        <f>$A$3*POWER(D29,$B$3)</f>
        <v/>
      </c>
      <c r="I29" s="2">
        <f>K29&amp;"$"&amp;Q29</f>
        <v/>
      </c>
      <c r="J29" s="12" t="n">
        <v>54</v>
      </c>
      <c r="K29" s="2">
        <f>$M$2&amp;"|"&amp;J29</f>
        <v/>
      </c>
    </row>
    <row r="30">
      <c r="D30" s="2" t="n">
        <v>28</v>
      </c>
      <c r="E30" s="16">
        <f>$A$3*POWER(D30,$B$3)</f>
        <v/>
      </c>
      <c r="I30" s="2">
        <f>K30&amp;"$"&amp;Q30</f>
        <v/>
      </c>
      <c r="J30" s="12" t="n">
        <v>56</v>
      </c>
      <c r="K30" s="2">
        <f>$M$2&amp;"|"&amp;J30</f>
        <v/>
      </c>
    </row>
    <row r="31">
      <c r="D31" s="7" t="n">
        <v>29</v>
      </c>
      <c r="E31" s="16">
        <f>$A$3*POWER(D31,$B$3)</f>
        <v/>
      </c>
      <c r="I31" s="2">
        <f>K31&amp;"$"&amp;Q31</f>
        <v/>
      </c>
      <c r="J31" s="12" t="n">
        <v>58</v>
      </c>
      <c r="K31" s="2">
        <f>$M$2&amp;"|"&amp;J31</f>
        <v/>
      </c>
    </row>
    <row r="32">
      <c r="D32" s="2" t="n">
        <v>30</v>
      </c>
      <c r="E32" s="16">
        <f>$A$3*POWER(D32,$B$3)</f>
        <v/>
      </c>
      <c r="I32" s="2">
        <f>K32&amp;"$"&amp;Q32</f>
        <v/>
      </c>
      <c r="J32" s="12" t="n">
        <v>60</v>
      </c>
      <c r="K32" s="2">
        <f>$M$2&amp;"|"&amp;J32</f>
        <v/>
      </c>
      <c r="Q32" s="2">
        <f>S1&amp;"|"&amp;S2</f>
        <v/>
      </c>
    </row>
    <row r="33">
      <c r="D33" s="2" t="n">
        <v>31</v>
      </c>
      <c r="E33" s="16">
        <f>$A$3*POWER(D33,$B$3)</f>
        <v/>
      </c>
      <c r="I33" s="2">
        <f>K33&amp;"$"&amp;Q33</f>
        <v/>
      </c>
      <c r="J33" s="12" t="n">
        <v>62</v>
      </c>
      <c r="K33" s="2">
        <f>$N$2&amp;"|"&amp;J33</f>
        <v/>
      </c>
    </row>
    <row r="34">
      <c r="D34" s="7" t="n">
        <v>32</v>
      </c>
      <c r="E34" s="16">
        <f>$A$3*POWER(D34,$B$3)</f>
        <v/>
      </c>
      <c r="I34" s="2">
        <f>K34&amp;"$"&amp;Q34</f>
        <v/>
      </c>
      <c r="J34" s="12" t="n">
        <v>64</v>
      </c>
      <c r="K34" s="2">
        <f>$N$2&amp;"|"&amp;J34</f>
        <v/>
      </c>
    </row>
    <row r="35">
      <c r="D35" s="2" t="n">
        <v>33</v>
      </c>
      <c r="E35" s="16">
        <f>$A$3*POWER(D35,$B$3)</f>
        <v/>
      </c>
      <c r="I35" s="2">
        <f>K35&amp;"$"&amp;Q35</f>
        <v/>
      </c>
      <c r="J35" s="12" t="n">
        <v>66</v>
      </c>
      <c r="K35" s="2">
        <f>$N$2&amp;"|"&amp;J35</f>
        <v/>
      </c>
    </row>
    <row r="36">
      <c r="D36" s="2" t="n">
        <v>34</v>
      </c>
      <c r="E36" s="16">
        <f>$A$3*POWER(D36,$B$3)</f>
        <v/>
      </c>
      <c r="I36" s="2">
        <f>K36&amp;"$"&amp;Q36</f>
        <v/>
      </c>
      <c r="J36" s="12" t="n">
        <v>68</v>
      </c>
      <c r="K36" s="2">
        <f>$N$2&amp;"|"&amp;J36</f>
        <v/>
      </c>
    </row>
    <row r="37">
      <c r="D37" s="7" t="n">
        <v>35</v>
      </c>
      <c r="E37" s="16">
        <f>$A$3*POWER(D37,$B$3)</f>
        <v/>
      </c>
      <c r="I37" s="2">
        <f>K37&amp;"$"&amp;Q37</f>
        <v/>
      </c>
      <c r="J37" s="12" t="n">
        <v>70</v>
      </c>
      <c r="K37" s="2">
        <f>$N$2&amp;"|"&amp;J37</f>
        <v/>
      </c>
    </row>
    <row r="38">
      <c r="D38" s="2" t="n">
        <v>36</v>
      </c>
      <c r="E38" s="16">
        <f>$A$3*POWER(D38,$B$3)</f>
        <v/>
      </c>
      <c r="I38" s="2">
        <f>K38&amp;"$"&amp;Q38</f>
        <v/>
      </c>
      <c r="J38" s="12" t="n">
        <v>72</v>
      </c>
      <c r="K38" s="2">
        <f>$N$2&amp;"|"&amp;J38</f>
        <v/>
      </c>
    </row>
    <row r="39">
      <c r="D39" s="2" t="n">
        <v>37</v>
      </c>
      <c r="E39" s="16">
        <f>$A$3*POWER(D39,$B$3)</f>
        <v/>
      </c>
      <c r="I39" s="2">
        <f>K39&amp;"$"&amp;Q39</f>
        <v/>
      </c>
      <c r="J39" s="12" t="n">
        <v>74</v>
      </c>
      <c r="K39" s="2">
        <f>$N$2&amp;"|"&amp;J39</f>
        <v/>
      </c>
    </row>
    <row r="40">
      <c r="D40" s="7" t="n">
        <v>38</v>
      </c>
      <c r="E40" s="16">
        <f>$A$3*POWER(D40,$B$3)</f>
        <v/>
      </c>
      <c r="I40" s="2">
        <f>K40&amp;"$"&amp;Q40</f>
        <v/>
      </c>
      <c r="J40" s="12" t="n">
        <v>76</v>
      </c>
      <c r="K40" s="2">
        <f>$N$2&amp;"|"&amp;J40</f>
        <v/>
      </c>
    </row>
    <row r="41">
      <c r="D41" s="2" t="n">
        <v>39</v>
      </c>
      <c r="E41" s="16">
        <f>$A$3*POWER(D41,$B$3)</f>
        <v/>
      </c>
      <c r="I41" s="2">
        <f>K41&amp;"$"&amp;Q41</f>
        <v/>
      </c>
      <c r="J41" s="12" t="n">
        <v>78</v>
      </c>
      <c r="K41" s="2">
        <f>$N$2&amp;"|"&amp;J41</f>
        <v/>
      </c>
    </row>
    <row r="42">
      <c r="D42" s="2" t="n">
        <v>40</v>
      </c>
      <c r="E42" s="16">
        <f>$A$3*POWER(D42,$B$3)</f>
        <v/>
      </c>
      <c r="I42" s="2">
        <f>K42&amp;"$"&amp;Q42</f>
        <v/>
      </c>
      <c r="J42" s="12" t="n">
        <v>80</v>
      </c>
      <c r="K42" s="2">
        <f>$N$2&amp;"|"&amp;J42</f>
        <v/>
      </c>
      <c r="Q42" s="2">
        <f>T1&amp;"|"&amp;T2</f>
        <v/>
      </c>
    </row>
    <row r="43">
      <c r="D43" s="2" t="n">
        <v>41</v>
      </c>
      <c r="E43" s="16">
        <f>$A$3*POWER(D43,$B$3)</f>
        <v/>
      </c>
      <c r="I43" s="2">
        <f>K43&amp;"$"&amp;Q43</f>
        <v/>
      </c>
      <c r="J43" s="12" t="n">
        <v>82</v>
      </c>
      <c r="K43" s="2">
        <f>$O$2&amp;"|"&amp;J43</f>
        <v/>
      </c>
    </row>
    <row r="44">
      <c r="D44" s="7" t="n">
        <v>42</v>
      </c>
      <c r="E44" s="16">
        <f>$A$3*POWER(D44,$B$3)</f>
        <v/>
      </c>
      <c r="I44" s="2">
        <f>K44&amp;"$"&amp;Q44</f>
        <v/>
      </c>
      <c r="J44" s="12" t="n">
        <v>84</v>
      </c>
      <c r="K44" s="2">
        <f>$O$2&amp;"|"&amp;J44</f>
        <v/>
      </c>
    </row>
    <row r="45">
      <c r="D45" s="2" t="n">
        <v>43</v>
      </c>
      <c r="E45" s="16">
        <f>$A$3*POWER(D45,$B$3)</f>
        <v/>
      </c>
      <c r="I45" s="2">
        <f>K45&amp;"$"&amp;Q45</f>
        <v/>
      </c>
      <c r="J45" s="12" t="n">
        <v>86</v>
      </c>
      <c r="K45" s="2">
        <f>$O$2&amp;"|"&amp;J45</f>
        <v/>
      </c>
    </row>
    <row r="46">
      <c r="D46" s="2" t="n">
        <v>44</v>
      </c>
      <c r="E46" s="16">
        <f>$A$3*POWER(D46,$B$3)</f>
        <v/>
      </c>
      <c r="I46" s="2">
        <f>K46&amp;"$"&amp;Q46</f>
        <v/>
      </c>
      <c r="J46" s="12" t="n">
        <v>88</v>
      </c>
      <c r="K46" s="2">
        <f>$O$2&amp;"|"&amp;J46</f>
        <v/>
      </c>
    </row>
    <row r="47">
      <c r="D47" s="2" t="n">
        <v>45</v>
      </c>
      <c r="E47" s="16">
        <f>$A$3*POWER(D47,$B$3)</f>
        <v/>
      </c>
      <c r="I47" s="2">
        <f>K47&amp;"$"&amp;Q47</f>
        <v/>
      </c>
      <c r="J47" s="12" t="n">
        <v>90</v>
      </c>
      <c r="K47" s="2">
        <f>$O$2&amp;"|"&amp;J47</f>
        <v/>
      </c>
    </row>
    <row r="48">
      <c r="D48" s="7" t="n">
        <v>46</v>
      </c>
      <c r="E48" s="16">
        <f>$A$3*POWER(D48,$B$3)</f>
        <v/>
      </c>
      <c r="I48" s="2">
        <f>K48&amp;"$"&amp;Q48</f>
        <v/>
      </c>
      <c r="J48" s="12" t="n">
        <v>92</v>
      </c>
      <c r="K48" s="2">
        <f>$O$2&amp;"|"&amp;J48</f>
        <v/>
      </c>
    </row>
    <row r="49">
      <c r="D49" s="2" t="n">
        <v>47</v>
      </c>
      <c r="E49" s="16">
        <f>$A$3*POWER(D49,$B$3)</f>
        <v/>
      </c>
      <c r="I49" s="2">
        <f>K49&amp;"$"&amp;Q49</f>
        <v/>
      </c>
      <c r="J49" s="12" t="n">
        <v>94</v>
      </c>
      <c r="K49" s="2">
        <f>$O$2&amp;"|"&amp;J49</f>
        <v/>
      </c>
    </row>
    <row r="50">
      <c r="D50" s="2" t="n">
        <v>48</v>
      </c>
      <c r="E50" s="16">
        <f>$A$3*POWER(D50,$B$3)</f>
        <v/>
      </c>
      <c r="I50" s="2">
        <f>K50&amp;"$"&amp;Q50</f>
        <v/>
      </c>
      <c r="J50" s="12" t="n">
        <v>96</v>
      </c>
      <c r="K50" s="2">
        <f>$O$2&amp;"|"&amp;J50</f>
        <v/>
      </c>
    </row>
    <row r="51">
      <c r="D51" s="2" t="n">
        <v>49</v>
      </c>
      <c r="E51" s="16">
        <f>$A$3*POWER(D51,$B$3)</f>
        <v/>
      </c>
      <c r="I51" s="2">
        <f>K51&amp;"$"&amp;Q51</f>
        <v/>
      </c>
      <c r="J51" s="12" t="n">
        <v>98</v>
      </c>
      <c r="K51" s="2">
        <f>$O$2&amp;"|"&amp;J51</f>
        <v/>
      </c>
    </row>
    <row r="52" ht="28.5" customHeight="1">
      <c r="D52" s="7" t="n">
        <v>50</v>
      </c>
      <c r="E52" s="16">
        <f>$A$3*POWER(D52,$B$3)</f>
        <v/>
      </c>
      <c r="I52" s="2">
        <f>K52&amp;"$"&amp;Q52</f>
        <v/>
      </c>
      <c r="J52" s="12" t="n">
        <v>100</v>
      </c>
      <c r="K52" s="2">
        <f>$O$2&amp;"|"&amp;J52</f>
        <v/>
      </c>
      <c r="Q52" s="2">
        <f>U1&amp;"|"&amp;U2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2026-03-12T10:50:57Z</dcterms:modified>
  <cp:lastModifiedBy>毛绒绒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2052-12.1.0.25186</vt:lpwstr>
  </property>
  <property name="ICV" fmtid="{D5CDD505-2E9C-101B-9397-08002B2CF9AE}" pid="3">
    <vt:lpwstr xmlns:vt="http://schemas.openxmlformats.org/officeDocument/2006/docPropsVTypes">5C29BEE5505F4F83B2CA2BC2ED185D87_12</vt:lpwstr>
  </property>
  <property name="CalculationRule" fmtid="{D5CDD505-2E9C-101B-9397-08002B2CF9AE}" pid="4">
    <vt:i4 xmlns:vt="http://schemas.openxmlformats.org/officeDocument/2006/docPropsVTypes">0</vt:i4>
  </property>
</Properties>
</file>